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waketechedu-my.sharepoint.com/personal/jwang16_waketech_edu/Documents/Desktop/CSC151/GroupProject/FA25/"/>
    </mc:Choice>
  </mc:AlternateContent>
  <xr:revisionPtr revIDLastSave="0" documentId="8_{E1DE1233-D4FB-4A75-BC7F-3779D2EFAFAE}" xr6:coauthVersionLast="47" xr6:coauthVersionMax="47" xr10:uidLastSave="{00000000-0000-0000-0000-000000000000}"/>
  <bookViews>
    <workbookView xWindow="315" yWindow="0" windowWidth="21885" windowHeight="15585" tabRatio="691" xr2:uid="{00000000-000D-0000-FFFF-FFFF00000000}"/>
  </bookViews>
  <sheets>
    <sheet name="Summary" sheetId="1" r:id="rId1"/>
    <sheet name="readMe" sheetId="11" r:id="rId2"/>
    <sheet name="Loan1_0" sheetId="4" r:id="rId3"/>
    <sheet name="Loan1_1000" sheetId="2" r:id="rId4"/>
    <sheet name="Loan1_monthly1000" sheetId="3" r:id="rId5"/>
    <sheet name="Loan2_0" sheetId="8" r:id="rId6"/>
    <sheet name="Loan2_1000" sheetId="9" r:id="rId7"/>
    <sheet name="Loan2_monthly1000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9" i="4" l="1"/>
  <c r="C7" i="4"/>
  <c r="C16" i="4" s="1"/>
  <c r="C7" i="3"/>
  <c r="C23" i="3" s="1"/>
  <c r="D11" i="10"/>
  <c r="G10" i="10"/>
  <c r="C7" i="10"/>
  <c r="C6" i="10"/>
  <c r="C4" i="10"/>
  <c r="G10" i="9"/>
  <c r="C6" i="9"/>
  <c r="C4" i="9"/>
  <c r="D11" i="9" s="1"/>
  <c r="F5" i="8"/>
  <c r="F3" i="8"/>
  <c r="C370" i="8"/>
  <c r="D370" i="8"/>
  <c r="E370" i="8"/>
  <c r="G370" i="8"/>
  <c r="C366" i="8"/>
  <c r="E366" i="8" s="1"/>
  <c r="G366" i="8" s="1"/>
  <c r="D366" i="8"/>
  <c r="C361" i="8"/>
  <c r="D361" i="8"/>
  <c r="E361" i="8"/>
  <c r="G361" i="8" s="1"/>
  <c r="C357" i="8"/>
  <c r="D357" i="8"/>
  <c r="E357" i="8"/>
  <c r="G357" i="8" s="1"/>
  <c r="C352" i="8"/>
  <c r="D352" i="8"/>
  <c r="E352" i="8"/>
  <c r="G352" i="8" s="1"/>
  <c r="C265" i="8"/>
  <c r="E265" i="8" s="1"/>
  <c r="G265" i="8" s="1"/>
  <c r="D265" i="8"/>
  <c r="C69" i="8"/>
  <c r="E69" i="8" s="1"/>
  <c r="D69" i="8"/>
  <c r="G69" i="8"/>
  <c r="C70" i="8"/>
  <c r="E70" i="8" s="1"/>
  <c r="D70" i="8"/>
  <c r="C59" i="8"/>
  <c r="E59" i="8" s="1"/>
  <c r="G59" i="8" s="1"/>
  <c r="D59" i="8"/>
  <c r="G10" i="8"/>
  <c r="D11" i="8" s="1"/>
  <c r="C6" i="8"/>
  <c r="C4" i="8"/>
  <c r="C7" i="8" s="1"/>
  <c r="F5" i="2"/>
  <c r="C57" i="2"/>
  <c r="C56" i="2"/>
  <c r="D11" i="4"/>
  <c r="G10" i="4"/>
  <c r="C6" i="4"/>
  <c r="C4" i="4"/>
  <c r="D11" i="3"/>
  <c r="G10" i="3"/>
  <c r="C6" i="3"/>
  <c r="C4" i="3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G11" i="2"/>
  <c r="D12" i="2" s="1"/>
  <c r="E11" i="2"/>
  <c r="D11" i="2"/>
  <c r="C11" i="2"/>
  <c r="G10" i="2"/>
  <c r="C7" i="2"/>
  <c r="C6" i="2"/>
  <c r="C4" i="2"/>
  <c r="C19" i="4" l="1"/>
  <c r="C22" i="10"/>
  <c r="C18" i="10"/>
  <c r="C14" i="10"/>
  <c r="C24" i="10"/>
  <c r="C20" i="10"/>
  <c r="C16" i="10"/>
  <c r="C12" i="10"/>
  <c r="C23" i="10"/>
  <c r="C19" i="10"/>
  <c r="C15" i="10"/>
  <c r="C11" i="10"/>
  <c r="C21" i="10"/>
  <c r="C17" i="10"/>
  <c r="C13" i="10"/>
  <c r="C7" i="9"/>
  <c r="C367" i="8"/>
  <c r="D367" i="8"/>
  <c r="C362" i="8"/>
  <c r="D362" i="8"/>
  <c r="C358" i="8"/>
  <c r="D358" i="8"/>
  <c r="D353" i="8"/>
  <c r="C353" i="8"/>
  <c r="E353" i="8" s="1"/>
  <c r="G353" i="8" s="1"/>
  <c r="C266" i="8"/>
  <c r="D266" i="8"/>
  <c r="G70" i="8"/>
  <c r="D60" i="8"/>
  <c r="C60" i="8"/>
  <c r="C21" i="8"/>
  <c r="C17" i="8"/>
  <c r="C13" i="8"/>
  <c r="C24" i="8"/>
  <c r="C20" i="8"/>
  <c r="C16" i="8"/>
  <c r="C12" i="8"/>
  <c r="C23" i="8"/>
  <c r="C19" i="8"/>
  <c r="C15" i="8"/>
  <c r="C11" i="8"/>
  <c r="C22" i="8"/>
  <c r="C14" i="8"/>
  <c r="C18" i="8"/>
  <c r="C11" i="4"/>
  <c r="C12" i="4"/>
  <c r="C23" i="4"/>
  <c r="C13" i="4"/>
  <c r="C17" i="4"/>
  <c r="C21" i="4"/>
  <c r="C15" i="4"/>
  <c r="C24" i="4"/>
  <c r="C20" i="4"/>
  <c r="C14" i="4"/>
  <c r="C18" i="4"/>
  <c r="C22" i="4"/>
  <c r="C11" i="3"/>
  <c r="E11" i="3" s="1"/>
  <c r="G11" i="3" s="1"/>
  <c r="C12" i="3"/>
  <c r="C16" i="3"/>
  <c r="C20" i="3"/>
  <c r="C24" i="3"/>
  <c r="C19" i="3"/>
  <c r="C17" i="3"/>
  <c r="C21" i="3"/>
  <c r="C13" i="3"/>
  <c r="C15" i="3"/>
  <c r="C14" i="3"/>
  <c r="C18" i="3"/>
  <c r="C22" i="3"/>
  <c r="E12" i="2"/>
  <c r="G12" i="2" s="1"/>
  <c r="D13" i="2"/>
  <c r="E13" i="2" s="1"/>
  <c r="G13" i="2" s="1"/>
  <c r="E11" i="4" l="1"/>
  <c r="G11" i="4" s="1"/>
  <c r="D12" i="4" s="1"/>
  <c r="E12" i="4" s="1"/>
  <c r="G12" i="4" s="1"/>
  <c r="E11" i="10"/>
  <c r="G11" i="10" s="1"/>
  <c r="C24" i="9"/>
  <c r="C20" i="9"/>
  <c r="C16" i="9"/>
  <c r="C12" i="9"/>
  <c r="C21" i="9"/>
  <c r="C14" i="9"/>
  <c r="C19" i="9"/>
  <c r="C13" i="9"/>
  <c r="C18" i="9"/>
  <c r="C11" i="9"/>
  <c r="C23" i="9"/>
  <c r="C17" i="9"/>
  <c r="C22" i="9"/>
  <c r="C15" i="9"/>
  <c r="E367" i="8"/>
  <c r="G367" i="8" s="1"/>
  <c r="E362" i="8"/>
  <c r="G362" i="8" s="1"/>
  <c r="E358" i="8"/>
  <c r="G358" i="8" s="1"/>
  <c r="D354" i="8"/>
  <c r="C354" i="8"/>
  <c r="E354" i="8" s="1"/>
  <c r="G354" i="8" s="1"/>
  <c r="E266" i="8"/>
  <c r="G266" i="8" s="1"/>
  <c r="C71" i="8"/>
  <c r="D71" i="8"/>
  <c r="E60" i="8"/>
  <c r="G60" i="8" s="1"/>
  <c r="E11" i="8"/>
  <c r="G11" i="8" s="1"/>
  <c r="D12" i="3"/>
  <c r="E12" i="3" s="1"/>
  <c r="G12" i="3" s="1"/>
  <c r="D14" i="2"/>
  <c r="E14" i="2" s="1"/>
  <c r="G14" i="2" s="1"/>
  <c r="D12" i="10" l="1"/>
  <c r="E11" i="9"/>
  <c r="G11" i="9" s="1"/>
  <c r="C368" i="8"/>
  <c r="E368" i="8" s="1"/>
  <c r="G368" i="8" s="1"/>
  <c r="D368" i="8"/>
  <c r="C363" i="8"/>
  <c r="D363" i="8"/>
  <c r="D359" i="8"/>
  <c r="C359" i="8"/>
  <c r="E359" i="8" s="1"/>
  <c r="G359" i="8" s="1"/>
  <c r="D355" i="8"/>
  <c r="C355" i="8"/>
  <c r="E355" i="8" s="1"/>
  <c r="G355" i="8" s="1"/>
  <c r="C267" i="8"/>
  <c r="D267" i="8"/>
  <c r="E71" i="8"/>
  <c r="G71" i="8" s="1"/>
  <c r="D61" i="8"/>
  <c r="C61" i="8"/>
  <c r="D12" i="8"/>
  <c r="D13" i="4"/>
  <c r="E13" i="4" s="1"/>
  <c r="G13" i="4" s="1"/>
  <c r="D13" i="3"/>
  <c r="E13" i="3" s="1"/>
  <c r="G13" i="3" s="1"/>
  <c r="D15" i="2"/>
  <c r="E15" i="2" s="1"/>
  <c r="G15" i="2" s="1"/>
  <c r="E12" i="10" l="1"/>
  <c r="G12" i="10" s="1"/>
  <c r="D12" i="9"/>
  <c r="C369" i="8"/>
  <c r="E369" i="8" s="1"/>
  <c r="G369" i="8" s="1"/>
  <c r="D369" i="8"/>
  <c r="E363" i="8"/>
  <c r="G363" i="8" s="1"/>
  <c r="C360" i="8"/>
  <c r="D360" i="8"/>
  <c r="C356" i="8"/>
  <c r="E356" i="8" s="1"/>
  <c r="G356" i="8" s="1"/>
  <c r="D356" i="8"/>
  <c r="E267" i="8"/>
  <c r="G267" i="8" s="1"/>
  <c r="C72" i="8"/>
  <c r="D72" i="8"/>
  <c r="E61" i="8"/>
  <c r="G61" i="8" s="1"/>
  <c r="E12" i="8"/>
  <c r="G12" i="8" s="1"/>
  <c r="D14" i="4"/>
  <c r="D14" i="3"/>
  <c r="D16" i="2"/>
  <c r="E16" i="2" s="1"/>
  <c r="G16" i="2" s="1"/>
  <c r="D13" i="10" l="1"/>
  <c r="E12" i="9"/>
  <c r="G12" i="9" s="1"/>
  <c r="C364" i="8"/>
  <c r="D364" i="8"/>
  <c r="E360" i="8"/>
  <c r="G360" i="8" s="1"/>
  <c r="C268" i="8"/>
  <c r="D268" i="8"/>
  <c r="E72" i="8"/>
  <c r="G72" i="8" s="1"/>
  <c r="D62" i="8"/>
  <c r="C62" i="8"/>
  <c r="E62" i="8" s="1"/>
  <c r="G62" i="8" s="1"/>
  <c r="D13" i="8"/>
  <c r="E14" i="4"/>
  <c r="G14" i="4" s="1"/>
  <c r="E14" i="3"/>
  <c r="G14" i="3" s="1"/>
  <c r="D17" i="2"/>
  <c r="E17" i="2" s="1"/>
  <c r="G17" i="2" s="1"/>
  <c r="E13" i="10" l="1"/>
  <c r="G13" i="10" s="1"/>
  <c r="D13" i="9"/>
  <c r="E364" i="8"/>
  <c r="G364" i="8" s="1"/>
  <c r="E268" i="8"/>
  <c r="G268" i="8" s="1"/>
  <c r="C73" i="8"/>
  <c r="D73" i="8"/>
  <c r="C63" i="8"/>
  <c r="D63" i="8"/>
  <c r="E13" i="8"/>
  <c r="G13" i="8" s="1"/>
  <c r="D15" i="4"/>
  <c r="E15" i="4" s="1"/>
  <c r="G15" i="4" s="1"/>
  <c r="D15" i="3"/>
  <c r="D18" i="2"/>
  <c r="E18" i="2" s="1"/>
  <c r="G18" i="2"/>
  <c r="D14" i="10" l="1"/>
  <c r="E13" i="9"/>
  <c r="G13" i="9" s="1"/>
  <c r="C365" i="8"/>
  <c r="D365" i="8"/>
  <c r="C269" i="8"/>
  <c r="D269" i="8"/>
  <c r="E73" i="8"/>
  <c r="G73" i="8" s="1"/>
  <c r="E63" i="8"/>
  <c r="G63" i="8" s="1"/>
  <c r="D14" i="8"/>
  <c r="D16" i="4"/>
  <c r="E16" i="4" s="1"/>
  <c r="G16" i="4"/>
  <c r="E15" i="3"/>
  <c r="G15" i="3" s="1"/>
  <c r="D19" i="2"/>
  <c r="E19" i="2" s="1"/>
  <c r="G19" i="2" s="1"/>
  <c r="E14" i="10" l="1"/>
  <c r="G14" i="10" s="1"/>
  <c r="D14" i="9"/>
  <c r="E365" i="8"/>
  <c r="G365" i="8" s="1"/>
  <c r="E269" i="8"/>
  <c r="G269" i="8" s="1"/>
  <c r="D74" i="8"/>
  <c r="C74" i="8"/>
  <c r="E74" i="8" s="1"/>
  <c r="G74" i="8" s="1"/>
  <c r="C64" i="8"/>
  <c r="D64" i="8"/>
  <c r="E14" i="8"/>
  <c r="G14" i="8" s="1"/>
  <c r="D17" i="4"/>
  <c r="E17" i="4" s="1"/>
  <c r="G17" i="4" s="1"/>
  <c r="D16" i="3"/>
  <c r="D20" i="2"/>
  <c r="E20" i="2" s="1"/>
  <c r="G20" i="2" s="1"/>
  <c r="D15" i="10" l="1"/>
  <c r="E15" i="10" s="1"/>
  <c r="G15" i="10" s="1"/>
  <c r="E14" i="9"/>
  <c r="G14" i="9" s="1"/>
  <c r="C270" i="8"/>
  <c r="E270" i="8" s="1"/>
  <c r="G270" i="8" s="1"/>
  <c r="D270" i="8"/>
  <c r="C75" i="8"/>
  <c r="D75" i="8"/>
  <c r="E64" i="8"/>
  <c r="G64" i="8" s="1"/>
  <c r="D15" i="8"/>
  <c r="E15" i="8" s="1"/>
  <c r="G15" i="8" s="1"/>
  <c r="D18" i="4"/>
  <c r="E18" i="4" s="1"/>
  <c r="G18" i="4" s="1"/>
  <c r="E16" i="3"/>
  <c r="G16" i="3" s="1"/>
  <c r="D21" i="2"/>
  <c r="E21" i="2" s="1"/>
  <c r="G21" i="2" s="1"/>
  <c r="D16" i="10" l="1"/>
  <c r="E16" i="10" s="1"/>
  <c r="G16" i="10"/>
  <c r="D15" i="9"/>
  <c r="E15" i="9" s="1"/>
  <c r="G15" i="9" s="1"/>
  <c r="C271" i="8"/>
  <c r="E271" i="8" s="1"/>
  <c r="G271" i="8" s="1"/>
  <c r="D271" i="8"/>
  <c r="E75" i="8"/>
  <c r="G75" i="8" s="1"/>
  <c r="C65" i="8"/>
  <c r="D65" i="8"/>
  <c r="D16" i="8"/>
  <c r="E16" i="8" s="1"/>
  <c r="G16" i="8" s="1"/>
  <c r="D19" i="4"/>
  <c r="E19" i="4" s="1"/>
  <c r="G19" i="4" s="1"/>
  <c r="D17" i="3"/>
  <c r="E17" i="3" s="1"/>
  <c r="G17" i="3" s="1"/>
  <c r="D22" i="2"/>
  <c r="E22" i="2" s="1"/>
  <c r="G22" i="2" s="1"/>
  <c r="D17" i="10" l="1"/>
  <c r="E17" i="10" s="1"/>
  <c r="G17" i="10" s="1"/>
  <c r="D16" i="9"/>
  <c r="E16" i="9" s="1"/>
  <c r="G16" i="9" s="1"/>
  <c r="D272" i="8"/>
  <c r="C272" i="8"/>
  <c r="C76" i="8"/>
  <c r="D76" i="8"/>
  <c r="E65" i="8"/>
  <c r="G65" i="8" s="1"/>
  <c r="D17" i="8"/>
  <c r="E17" i="8" s="1"/>
  <c r="G17" i="8" s="1"/>
  <c r="D20" i="4"/>
  <c r="E20" i="4" s="1"/>
  <c r="G20" i="4" s="1"/>
  <c r="D18" i="3"/>
  <c r="E18" i="3" s="1"/>
  <c r="G18" i="3" s="1"/>
  <c r="D23" i="2"/>
  <c r="E23" i="2" s="1"/>
  <c r="G23" i="2" s="1"/>
  <c r="D18" i="10" l="1"/>
  <c r="E18" i="10" s="1"/>
  <c r="G18" i="10"/>
  <c r="D17" i="9"/>
  <c r="E17" i="9" s="1"/>
  <c r="G17" i="9" s="1"/>
  <c r="E272" i="8"/>
  <c r="G272" i="8" s="1"/>
  <c r="E76" i="8"/>
  <c r="G76" i="8" s="1"/>
  <c r="C66" i="8"/>
  <c r="D66" i="8"/>
  <c r="D18" i="8"/>
  <c r="E18" i="8" s="1"/>
  <c r="G18" i="8" s="1"/>
  <c r="D21" i="4"/>
  <c r="E21" i="4" s="1"/>
  <c r="G21" i="4" s="1"/>
  <c r="D19" i="3"/>
  <c r="E19" i="3" s="1"/>
  <c r="G19" i="3" s="1"/>
  <c r="D24" i="2"/>
  <c r="E24" i="2" s="1"/>
  <c r="G24" i="2" s="1"/>
  <c r="D19" i="10" l="1"/>
  <c r="E19" i="10" s="1"/>
  <c r="G19" i="10" s="1"/>
  <c r="D18" i="9"/>
  <c r="E18" i="9" s="1"/>
  <c r="G18" i="9" s="1"/>
  <c r="C273" i="8"/>
  <c r="D273" i="8"/>
  <c r="D77" i="8"/>
  <c r="C77" i="8"/>
  <c r="E77" i="8" s="1"/>
  <c r="G77" i="8" s="1"/>
  <c r="E66" i="8"/>
  <c r="G66" i="8" s="1"/>
  <c r="D19" i="8"/>
  <c r="E19" i="8" s="1"/>
  <c r="G19" i="8" s="1"/>
  <c r="D22" i="4"/>
  <c r="E22" i="4" s="1"/>
  <c r="G22" i="4" s="1"/>
  <c r="D20" i="3"/>
  <c r="E20" i="3" s="1"/>
  <c r="G20" i="3" s="1"/>
  <c r="D25" i="2"/>
  <c r="E25" i="2" s="1"/>
  <c r="G25" i="2" s="1"/>
  <c r="D20" i="10" l="1"/>
  <c r="E20" i="10" s="1"/>
  <c r="G20" i="10" s="1"/>
  <c r="D19" i="9"/>
  <c r="E19" i="9" s="1"/>
  <c r="G19" i="9" s="1"/>
  <c r="E273" i="8"/>
  <c r="G273" i="8" s="1"/>
  <c r="D78" i="8"/>
  <c r="C78" i="8"/>
  <c r="D67" i="8"/>
  <c r="C67" i="8"/>
  <c r="E67" i="8" s="1"/>
  <c r="G67" i="8" s="1"/>
  <c r="D20" i="8"/>
  <c r="E20" i="8" s="1"/>
  <c r="G20" i="8" s="1"/>
  <c r="D23" i="4"/>
  <c r="E23" i="4" s="1"/>
  <c r="G23" i="4" s="1"/>
  <c r="D21" i="3"/>
  <c r="E21" i="3" s="1"/>
  <c r="G21" i="3" s="1"/>
  <c r="D26" i="2"/>
  <c r="E26" i="2" s="1"/>
  <c r="G26" i="2" s="1"/>
  <c r="D21" i="10" l="1"/>
  <c r="E21" i="10" s="1"/>
  <c r="G21" i="10" s="1"/>
  <c r="D20" i="9"/>
  <c r="E20" i="9" s="1"/>
  <c r="G20" i="9" s="1"/>
  <c r="C274" i="8"/>
  <c r="D274" i="8"/>
  <c r="E78" i="8"/>
  <c r="G78" i="8" s="1"/>
  <c r="D68" i="8"/>
  <c r="C68" i="8"/>
  <c r="E68" i="8" s="1"/>
  <c r="G68" i="8"/>
  <c r="D21" i="8"/>
  <c r="E21" i="8" s="1"/>
  <c r="G21" i="8"/>
  <c r="D24" i="4"/>
  <c r="E24" i="4" s="1"/>
  <c r="G24" i="4" s="1"/>
  <c r="D22" i="3"/>
  <c r="E22" i="3" s="1"/>
  <c r="G22" i="3" s="1"/>
  <c r="D27" i="2"/>
  <c r="E27" i="2" s="1"/>
  <c r="G27" i="2"/>
  <c r="D22" i="10" l="1"/>
  <c r="E22" i="10" s="1"/>
  <c r="G22" i="10"/>
  <c r="D21" i="9"/>
  <c r="E21" i="9" s="1"/>
  <c r="G21" i="9"/>
  <c r="E274" i="8"/>
  <c r="G274" i="8" s="1"/>
  <c r="C79" i="8"/>
  <c r="D79" i="8"/>
  <c r="D22" i="8"/>
  <c r="E22" i="8" s="1"/>
  <c r="G22" i="8" s="1"/>
  <c r="D25" i="4"/>
  <c r="C25" i="4"/>
  <c r="D23" i="3"/>
  <c r="E23" i="3" s="1"/>
  <c r="G23" i="3" s="1"/>
  <c r="D28" i="2"/>
  <c r="E28" i="2" s="1"/>
  <c r="G28" i="2" s="1"/>
  <c r="E25" i="4" l="1"/>
  <c r="G25" i="4" s="1"/>
  <c r="D23" i="10"/>
  <c r="E23" i="10" s="1"/>
  <c r="G23" i="10" s="1"/>
  <c r="D22" i="9"/>
  <c r="E22" i="9" s="1"/>
  <c r="G22" i="9" s="1"/>
  <c r="C275" i="8"/>
  <c r="D275" i="8"/>
  <c r="E79" i="8"/>
  <c r="G79" i="8" s="1"/>
  <c r="D23" i="8"/>
  <c r="E23" i="8" s="1"/>
  <c r="G23" i="8" s="1"/>
  <c r="D26" i="4"/>
  <c r="C26" i="4"/>
  <c r="D24" i="3"/>
  <c r="E24" i="3" s="1"/>
  <c r="G24" i="3" s="1"/>
  <c r="C25" i="3" s="1"/>
  <c r="D29" i="2"/>
  <c r="E29" i="2" s="1"/>
  <c r="G29" i="2"/>
  <c r="D24" i="10" l="1"/>
  <c r="E24" i="10" s="1"/>
  <c r="G24" i="10"/>
  <c r="D23" i="9"/>
  <c r="E23" i="9" s="1"/>
  <c r="G23" i="9"/>
  <c r="E275" i="8"/>
  <c r="G275" i="8" s="1"/>
  <c r="C80" i="8"/>
  <c r="D80" i="8"/>
  <c r="D24" i="8"/>
  <c r="E24" i="8" s="1"/>
  <c r="G24" i="8" s="1"/>
  <c r="E26" i="4"/>
  <c r="G26" i="4" s="1"/>
  <c r="D25" i="3"/>
  <c r="D30" i="2"/>
  <c r="E30" i="2" s="1"/>
  <c r="G30" i="2" s="1"/>
  <c r="D25" i="10" l="1"/>
  <c r="C25" i="10"/>
  <c r="D24" i="9"/>
  <c r="E24" i="9" s="1"/>
  <c r="G24" i="9" s="1"/>
  <c r="D276" i="8"/>
  <c r="C276" i="8"/>
  <c r="E276" i="8" s="1"/>
  <c r="G276" i="8" s="1"/>
  <c r="E80" i="8"/>
  <c r="G80" i="8" s="1"/>
  <c r="C25" i="8"/>
  <c r="D25" i="8"/>
  <c r="C27" i="4"/>
  <c r="D27" i="4"/>
  <c r="D31" i="2"/>
  <c r="E31" i="2" s="1"/>
  <c r="G31" i="2"/>
  <c r="E25" i="10" l="1"/>
  <c r="G25" i="10" s="1"/>
  <c r="D25" i="9"/>
  <c r="C25" i="9"/>
  <c r="C277" i="8"/>
  <c r="D277" i="8"/>
  <c r="D81" i="8"/>
  <c r="C81" i="8"/>
  <c r="E81" i="8" s="1"/>
  <c r="G81" i="8"/>
  <c r="E25" i="8"/>
  <c r="G25" i="8" s="1"/>
  <c r="E27" i="4"/>
  <c r="G27" i="4" s="1"/>
  <c r="D32" i="2"/>
  <c r="E32" i="2" s="1"/>
  <c r="G32" i="2"/>
  <c r="C26" i="10" l="1"/>
  <c r="D26" i="10"/>
  <c r="E25" i="9"/>
  <c r="G25" i="9" s="1"/>
  <c r="E277" i="8"/>
  <c r="G277" i="8" s="1"/>
  <c r="C82" i="8"/>
  <c r="D82" i="8"/>
  <c r="D26" i="8"/>
  <c r="C26" i="8"/>
  <c r="D28" i="4"/>
  <c r="C28" i="4"/>
  <c r="E28" i="4" s="1"/>
  <c r="G28" i="4" s="1"/>
  <c r="D33" i="2"/>
  <c r="E33" i="2" s="1"/>
  <c r="G33" i="2"/>
  <c r="E26" i="10" l="1"/>
  <c r="G26" i="10" s="1"/>
  <c r="D26" i="9"/>
  <c r="C26" i="9"/>
  <c r="C278" i="8"/>
  <c r="D278" i="8"/>
  <c r="E82" i="8"/>
  <c r="G82" i="8" s="1"/>
  <c r="E26" i="8"/>
  <c r="G26" i="8" s="1"/>
  <c r="D29" i="4"/>
  <c r="C29" i="4"/>
  <c r="E29" i="4" s="1"/>
  <c r="G29" i="4" s="1"/>
  <c r="D34" i="2"/>
  <c r="E34" i="2" s="1"/>
  <c r="G34" i="2" s="1"/>
  <c r="C27" i="10" l="1"/>
  <c r="D27" i="10"/>
  <c r="E26" i="9"/>
  <c r="G26" i="9" s="1"/>
  <c r="E278" i="8"/>
  <c r="G278" i="8" s="1"/>
  <c r="C83" i="8"/>
  <c r="D83" i="8"/>
  <c r="D27" i="8"/>
  <c r="C27" i="8"/>
  <c r="D30" i="4"/>
  <c r="C30" i="4"/>
  <c r="E30" i="4" s="1"/>
  <c r="G30" i="4" s="1"/>
  <c r="D35" i="2"/>
  <c r="E35" i="2" s="1"/>
  <c r="G35" i="2"/>
  <c r="E27" i="10" l="1"/>
  <c r="G27" i="10" s="1"/>
  <c r="C27" i="9"/>
  <c r="D27" i="9"/>
  <c r="C279" i="8"/>
  <c r="D279" i="8"/>
  <c r="E83" i="8"/>
  <c r="G83" i="8" s="1"/>
  <c r="E27" i="8"/>
  <c r="G27" i="8" s="1"/>
  <c r="C31" i="4"/>
  <c r="D31" i="4"/>
  <c r="D36" i="2"/>
  <c r="E36" i="2" s="1"/>
  <c r="G36" i="2"/>
  <c r="C28" i="10" l="1"/>
  <c r="D28" i="10"/>
  <c r="E27" i="9"/>
  <c r="G27" i="9" s="1"/>
  <c r="E279" i="8"/>
  <c r="G279" i="8" s="1"/>
  <c r="C84" i="8"/>
  <c r="D84" i="8"/>
  <c r="D28" i="8"/>
  <c r="C28" i="8"/>
  <c r="E31" i="4"/>
  <c r="G31" i="4" s="1"/>
  <c r="D37" i="2"/>
  <c r="E37" i="2" s="1"/>
  <c r="G37" i="2"/>
  <c r="E28" i="10" l="1"/>
  <c r="G28" i="10" s="1"/>
  <c r="D28" i="9"/>
  <c r="C28" i="9"/>
  <c r="C280" i="8"/>
  <c r="D280" i="8"/>
  <c r="E84" i="8"/>
  <c r="G84" i="8" s="1"/>
  <c r="E28" i="8"/>
  <c r="G28" i="8" s="1"/>
  <c r="C32" i="4"/>
  <c r="D32" i="4"/>
  <c r="D38" i="2"/>
  <c r="E38" i="2" s="1"/>
  <c r="G38" i="2"/>
  <c r="C29" i="10" l="1"/>
  <c r="D29" i="10"/>
  <c r="E28" i="9"/>
  <c r="G28" i="9" s="1"/>
  <c r="E280" i="8"/>
  <c r="G280" i="8" s="1"/>
  <c r="C85" i="8"/>
  <c r="D85" i="8"/>
  <c r="C29" i="8"/>
  <c r="D29" i="8"/>
  <c r="E32" i="4"/>
  <c r="G32" i="4" s="1"/>
  <c r="D39" i="2"/>
  <c r="E39" i="2" s="1"/>
  <c r="G39" i="2" s="1"/>
  <c r="E29" i="10" l="1"/>
  <c r="G29" i="10" s="1"/>
  <c r="D29" i="9"/>
  <c r="C29" i="9"/>
  <c r="E29" i="9" s="1"/>
  <c r="G29" i="9" s="1"/>
  <c r="C281" i="8"/>
  <c r="D281" i="8"/>
  <c r="E85" i="8"/>
  <c r="G85" i="8" s="1"/>
  <c r="E29" i="8"/>
  <c r="G29" i="8" s="1"/>
  <c r="D33" i="4"/>
  <c r="C33" i="4"/>
  <c r="E33" i="4" s="1"/>
  <c r="G33" i="4" s="1"/>
  <c r="D40" i="2"/>
  <c r="E40" i="2" s="1"/>
  <c r="G40" i="2" s="1"/>
  <c r="C30" i="10" l="1"/>
  <c r="D30" i="10"/>
  <c r="D30" i="9"/>
  <c r="C30" i="9"/>
  <c r="E281" i="8"/>
  <c r="G281" i="8" s="1"/>
  <c r="D86" i="8"/>
  <c r="C86" i="8"/>
  <c r="E86" i="8" s="1"/>
  <c r="G86" i="8" s="1"/>
  <c r="D30" i="8"/>
  <c r="C30" i="8"/>
  <c r="E30" i="8" s="1"/>
  <c r="G30" i="8" s="1"/>
  <c r="D34" i="4"/>
  <c r="C34" i="4"/>
  <c r="E34" i="4" s="1"/>
  <c r="G34" i="4" s="1"/>
  <c r="D41" i="2"/>
  <c r="E41" i="2" s="1"/>
  <c r="G41" i="2"/>
  <c r="E30" i="10" l="1"/>
  <c r="G30" i="10" s="1"/>
  <c r="E30" i="9"/>
  <c r="G30" i="9" s="1"/>
  <c r="D282" i="8"/>
  <c r="C282" i="8"/>
  <c r="E282" i="8" s="1"/>
  <c r="G282" i="8"/>
  <c r="C87" i="8"/>
  <c r="D87" i="8"/>
  <c r="D31" i="8"/>
  <c r="C31" i="8"/>
  <c r="E31" i="8" s="1"/>
  <c r="G31" i="8" s="1"/>
  <c r="D35" i="4"/>
  <c r="C35" i="4"/>
  <c r="E35" i="4" s="1"/>
  <c r="G35" i="4" s="1"/>
  <c r="D42" i="2"/>
  <c r="E42" i="2" s="1"/>
  <c r="G42" i="2" s="1"/>
  <c r="C31" i="10" l="1"/>
  <c r="D31" i="10"/>
  <c r="D31" i="9"/>
  <c r="C31" i="9"/>
  <c r="E31" i="9" s="1"/>
  <c r="G31" i="9" s="1"/>
  <c r="C283" i="8"/>
  <c r="D283" i="8"/>
  <c r="E87" i="8"/>
  <c r="G87" i="8" s="1"/>
  <c r="D32" i="8"/>
  <c r="C32" i="8"/>
  <c r="E32" i="8" s="1"/>
  <c r="G32" i="8" s="1"/>
  <c r="C36" i="4"/>
  <c r="D36" i="4"/>
  <c r="D43" i="2"/>
  <c r="E43" i="2" s="1"/>
  <c r="G43" i="2"/>
  <c r="E31" i="10" l="1"/>
  <c r="G31" i="10" s="1"/>
  <c r="D32" i="9"/>
  <c r="C32" i="9"/>
  <c r="E32" i="9" s="1"/>
  <c r="G32" i="9" s="1"/>
  <c r="E283" i="8"/>
  <c r="G283" i="8" s="1"/>
  <c r="D88" i="8"/>
  <c r="C88" i="8"/>
  <c r="E88" i="8" s="1"/>
  <c r="G88" i="8"/>
  <c r="C33" i="8"/>
  <c r="D33" i="8"/>
  <c r="E36" i="4"/>
  <c r="G36" i="4" s="1"/>
  <c r="D44" i="2"/>
  <c r="E44" i="2" s="1"/>
  <c r="G44" i="2" s="1"/>
  <c r="C32" i="10" l="1"/>
  <c r="D32" i="10"/>
  <c r="C33" i="9"/>
  <c r="D33" i="9"/>
  <c r="C284" i="8"/>
  <c r="D284" i="8"/>
  <c r="C89" i="8"/>
  <c r="D89" i="8"/>
  <c r="E33" i="8"/>
  <c r="G33" i="8" s="1"/>
  <c r="D37" i="4"/>
  <c r="C37" i="4"/>
  <c r="E37" i="4" s="1"/>
  <c r="G37" i="4" s="1"/>
  <c r="D45" i="2"/>
  <c r="E45" i="2" s="1"/>
  <c r="G45" i="2" s="1"/>
  <c r="E32" i="10" l="1"/>
  <c r="G32" i="10" s="1"/>
  <c r="E33" i="9"/>
  <c r="G33" i="9" s="1"/>
  <c r="E284" i="8"/>
  <c r="G284" i="8" s="1"/>
  <c r="E89" i="8"/>
  <c r="G89" i="8" s="1"/>
  <c r="D34" i="8"/>
  <c r="C34" i="8"/>
  <c r="E34" i="8" s="1"/>
  <c r="G34" i="8" s="1"/>
  <c r="D38" i="4"/>
  <c r="C38" i="4"/>
  <c r="E38" i="4" s="1"/>
  <c r="G38" i="4" s="1"/>
  <c r="D46" i="2"/>
  <c r="E46" i="2" s="1"/>
  <c r="G46" i="2" s="1"/>
  <c r="D33" i="10" l="1"/>
  <c r="C33" i="10"/>
  <c r="E33" i="10" s="1"/>
  <c r="G33" i="10" s="1"/>
  <c r="D34" i="9"/>
  <c r="C34" i="9"/>
  <c r="E34" i="9" s="1"/>
  <c r="G34" i="9" s="1"/>
  <c r="C285" i="8"/>
  <c r="D285" i="8"/>
  <c r="D90" i="8"/>
  <c r="C90" i="8"/>
  <c r="E90" i="8" s="1"/>
  <c r="G90" i="8" s="1"/>
  <c r="D35" i="8"/>
  <c r="C35" i="8"/>
  <c r="E35" i="8" s="1"/>
  <c r="G35" i="8" s="1"/>
  <c r="D39" i="4"/>
  <c r="C39" i="4"/>
  <c r="E39" i="4" s="1"/>
  <c r="G39" i="4" s="1"/>
  <c r="D47" i="2"/>
  <c r="E47" i="2" s="1"/>
  <c r="G47" i="2" s="1"/>
  <c r="D34" i="10" l="1"/>
  <c r="C34" i="10"/>
  <c r="E34" i="10" s="1"/>
  <c r="G34" i="10" s="1"/>
  <c r="C35" i="9"/>
  <c r="D35" i="9"/>
  <c r="E285" i="8"/>
  <c r="G285" i="8" s="1"/>
  <c r="C91" i="8"/>
  <c r="D91" i="8"/>
  <c r="D36" i="8"/>
  <c r="C36" i="8"/>
  <c r="E36" i="8" s="1"/>
  <c r="G36" i="8" s="1"/>
  <c r="D40" i="4"/>
  <c r="C40" i="4"/>
  <c r="E40" i="4" s="1"/>
  <c r="G40" i="4"/>
  <c r="D48" i="2"/>
  <c r="E48" i="2" s="1"/>
  <c r="G48" i="2" s="1"/>
  <c r="D35" i="10" l="1"/>
  <c r="C35" i="10"/>
  <c r="E35" i="10" s="1"/>
  <c r="G35" i="10" s="1"/>
  <c r="E35" i="9"/>
  <c r="G35" i="9" s="1"/>
  <c r="C286" i="8"/>
  <c r="D286" i="8"/>
  <c r="E91" i="8"/>
  <c r="G91" i="8" s="1"/>
  <c r="C37" i="8"/>
  <c r="D37" i="8"/>
  <c r="D41" i="4"/>
  <c r="C41" i="4"/>
  <c r="E41" i="4" s="1"/>
  <c r="G41" i="4" s="1"/>
  <c r="D49" i="2"/>
  <c r="E49" i="2" s="1"/>
  <c r="G49" i="2" s="1"/>
  <c r="D36" i="10" l="1"/>
  <c r="C36" i="10"/>
  <c r="E36" i="10" s="1"/>
  <c r="G36" i="10" s="1"/>
  <c r="C36" i="9"/>
  <c r="D36" i="9"/>
  <c r="E286" i="8"/>
  <c r="G286" i="8" s="1"/>
  <c r="D92" i="8"/>
  <c r="C92" i="8"/>
  <c r="E92" i="8" s="1"/>
  <c r="G92" i="8" s="1"/>
  <c r="E37" i="8"/>
  <c r="G37" i="8" s="1"/>
  <c r="D42" i="4"/>
  <c r="C42" i="4"/>
  <c r="E42" i="4" s="1"/>
  <c r="G42" i="4" s="1"/>
  <c r="D50" i="2"/>
  <c r="E50" i="2" s="1"/>
  <c r="G50" i="2"/>
  <c r="D37" i="10" l="1"/>
  <c r="C37" i="10"/>
  <c r="E37" i="10" s="1"/>
  <c r="G37" i="10" s="1"/>
  <c r="E36" i="9"/>
  <c r="G36" i="9" s="1"/>
  <c r="C287" i="8"/>
  <c r="D287" i="8"/>
  <c r="C93" i="8"/>
  <c r="D93" i="8"/>
  <c r="D38" i="8"/>
  <c r="C38" i="8"/>
  <c r="E38" i="8" s="1"/>
  <c r="G38" i="8" s="1"/>
  <c r="C43" i="4"/>
  <c r="D43" i="4"/>
  <c r="D51" i="2"/>
  <c r="E51" i="2" s="1"/>
  <c r="G51" i="2"/>
  <c r="D38" i="10" l="1"/>
  <c r="C38" i="10"/>
  <c r="E38" i="10" s="1"/>
  <c r="G38" i="10"/>
  <c r="C37" i="9"/>
  <c r="D37" i="9"/>
  <c r="E287" i="8"/>
  <c r="G287" i="8" s="1"/>
  <c r="E93" i="8"/>
  <c r="G93" i="8" s="1"/>
  <c r="D39" i="8"/>
  <c r="C39" i="8"/>
  <c r="E39" i="8" s="1"/>
  <c r="G39" i="8" s="1"/>
  <c r="E43" i="4"/>
  <c r="G43" i="4" s="1"/>
  <c r="D52" i="2"/>
  <c r="E52" i="2" s="1"/>
  <c r="G52" i="2"/>
  <c r="C39" i="10" l="1"/>
  <c r="D39" i="10"/>
  <c r="E37" i="9"/>
  <c r="G37" i="9" s="1"/>
  <c r="D288" i="8"/>
  <c r="C288" i="8"/>
  <c r="E288" i="8" s="1"/>
  <c r="G288" i="8"/>
  <c r="D94" i="8"/>
  <c r="C94" i="8"/>
  <c r="E94" i="8" s="1"/>
  <c r="G94" i="8" s="1"/>
  <c r="D40" i="8"/>
  <c r="C40" i="8"/>
  <c r="E40" i="8" s="1"/>
  <c r="G40" i="8" s="1"/>
  <c r="C44" i="4"/>
  <c r="D44" i="4"/>
  <c r="D53" i="2"/>
  <c r="E53" i="2" s="1"/>
  <c r="G53" i="2"/>
  <c r="E39" i="10" l="1"/>
  <c r="G39" i="10" s="1"/>
  <c r="D38" i="9"/>
  <c r="C38" i="9"/>
  <c r="E38" i="9" s="1"/>
  <c r="G38" i="9" s="1"/>
  <c r="C289" i="8"/>
  <c r="D289" i="8"/>
  <c r="C95" i="8"/>
  <c r="D95" i="8"/>
  <c r="C41" i="8"/>
  <c r="D41" i="8"/>
  <c r="E44" i="4"/>
  <c r="G44" i="4" s="1"/>
  <c r="D54" i="2"/>
  <c r="E54" i="2" s="1"/>
  <c r="G54" i="2" s="1"/>
  <c r="D40" i="10" l="1"/>
  <c r="C40" i="10"/>
  <c r="E40" i="10" s="1"/>
  <c r="G40" i="10"/>
  <c r="D39" i="9"/>
  <c r="C39" i="9"/>
  <c r="E39" i="9" s="1"/>
  <c r="G39" i="9"/>
  <c r="E289" i="8"/>
  <c r="G289" i="8" s="1"/>
  <c r="E95" i="8"/>
  <c r="G95" i="8" s="1"/>
  <c r="E41" i="8"/>
  <c r="G41" i="8" s="1"/>
  <c r="D45" i="4"/>
  <c r="C45" i="4"/>
  <c r="E45" i="4" s="1"/>
  <c r="G45" i="4" s="1"/>
  <c r="D55" i="2"/>
  <c r="E55" i="2" s="1"/>
  <c r="G55" i="2"/>
  <c r="D41" i="10" l="1"/>
  <c r="C41" i="10"/>
  <c r="E41" i="10" s="1"/>
  <c r="G41" i="10"/>
  <c r="D40" i="9"/>
  <c r="C40" i="9"/>
  <c r="E40" i="9" s="1"/>
  <c r="G40" i="9" s="1"/>
  <c r="C290" i="8"/>
  <c r="D290" i="8"/>
  <c r="D96" i="8"/>
  <c r="C96" i="8"/>
  <c r="E96" i="8" s="1"/>
  <c r="G96" i="8"/>
  <c r="D42" i="8"/>
  <c r="C42" i="8"/>
  <c r="E42" i="8" s="1"/>
  <c r="G42" i="8" s="1"/>
  <c r="D46" i="4"/>
  <c r="C46" i="4"/>
  <c r="E46" i="4" s="1"/>
  <c r="G46" i="4" s="1"/>
  <c r="D56" i="2"/>
  <c r="E56" i="2" s="1"/>
  <c r="G56" i="2" s="1"/>
  <c r="D42" i="10" l="1"/>
  <c r="C42" i="10"/>
  <c r="E42" i="10" s="1"/>
  <c r="G42" i="10" s="1"/>
  <c r="C41" i="9"/>
  <c r="D41" i="9"/>
  <c r="E290" i="8"/>
  <c r="G290" i="8" s="1"/>
  <c r="C97" i="8"/>
  <c r="D97" i="8"/>
  <c r="D43" i="8"/>
  <c r="C43" i="8"/>
  <c r="E43" i="8" s="1"/>
  <c r="G43" i="8" s="1"/>
  <c r="D47" i="4"/>
  <c r="C47" i="4"/>
  <c r="E47" i="4" s="1"/>
  <c r="G47" i="4" s="1"/>
  <c r="D57" i="2"/>
  <c r="E57" i="2" s="1"/>
  <c r="G57" i="2"/>
  <c r="C58" i="2" s="1"/>
  <c r="D43" i="10" l="1"/>
  <c r="C43" i="10"/>
  <c r="E43" i="10" s="1"/>
  <c r="G43" i="10" s="1"/>
  <c r="E41" i="9"/>
  <c r="G41" i="9" s="1"/>
  <c r="C291" i="8"/>
  <c r="D291" i="8"/>
  <c r="E97" i="8"/>
  <c r="G97" i="8" s="1"/>
  <c r="D44" i="8"/>
  <c r="C44" i="8"/>
  <c r="E44" i="8" s="1"/>
  <c r="G44" i="8" s="1"/>
  <c r="D48" i="4"/>
  <c r="C48" i="4"/>
  <c r="E48" i="4" s="1"/>
  <c r="G48" i="4" s="1"/>
  <c r="D58" i="2"/>
  <c r="D44" i="10" l="1"/>
  <c r="C44" i="10"/>
  <c r="E44" i="10" s="1"/>
  <c r="G44" i="10" s="1"/>
  <c r="C42" i="9"/>
  <c r="D42" i="9"/>
  <c r="E291" i="8"/>
  <c r="G291" i="8" s="1"/>
  <c r="D98" i="8"/>
  <c r="C98" i="8"/>
  <c r="E98" i="8" s="1"/>
  <c r="G98" i="8" s="1"/>
  <c r="C45" i="8"/>
  <c r="D45" i="8"/>
  <c r="D49" i="4"/>
  <c r="C49" i="4"/>
  <c r="E49" i="4" s="1"/>
  <c r="G49" i="4" s="1"/>
  <c r="E58" i="2"/>
  <c r="G58" i="2" s="1"/>
  <c r="F3" i="2"/>
  <c r="F4" i="2" s="1"/>
  <c r="D45" i="10" l="1"/>
  <c r="C45" i="10"/>
  <c r="E45" i="10" s="1"/>
  <c r="G45" i="10" s="1"/>
  <c r="E42" i="9"/>
  <c r="G42" i="9" s="1"/>
  <c r="D292" i="8"/>
  <c r="C292" i="8"/>
  <c r="E292" i="8" s="1"/>
  <c r="G292" i="8" s="1"/>
  <c r="C99" i="8"/>
  <c r="D99" i="8"/>
  <c r="E45" i="8"/>
  <c r="G45" i="8" s="1"/>
  <c r="D50" i="4"/>
  <c r="C50" i="4"/>
  <c r="E50" i="4" s="1"/>
  <c r="G50" i="4" s="1"/>
  <c r="D46" i="10" l="1"/>
  <c r="C46" i="10"/>
  <c r="E46" i="10" s="1"/>
  <c r="G46" i="10" s="1"/>
  <c r="D43" i="9"/>
  <c r="C43" i="9"/>
  <c r="E43" i="9" s="1"/>
  <c r="G43" i="9" s="1"/>
  <c r="C293" i="8"/>
  <c r="D293" i="8"/>
  <c r="E99" i="8"/>
  <c r="G99" i="8" s="1"/>
  <c r="D46" i="8"/>
  <c r="C46" i="8"/>
  <c r="E46" i="8" s="1"/>
  <c r="G46" i="8" s="1"/>
  <c r="D51" i="4"/>
  <c r="C51" i="4"/>
  <c r="E51" i="4" s="1"/>
  <c r="G51" i="4"/>
  <c r="C47" i="10" l="1"/>
  <c r="D47" i="10"/>
  <c r="D44" i="9"/>
  <c r="C44" i="9"/>
  <c r="E44" i="9" s="1"/>
  <c r="G44" i="9"/>
  <c r="E293" i="8"/>
  <c r="G293" i="8" s="1"/>
  <c r="C100" i="8"/>
  <c r="D100" i="8"/>
  <c r="D47" i="8"/>
  <c r="C47" i="8"/>
  <c r="E47" i="8" s="1"/>
  <c r="G47" i="8" s="1"/>
  <c r="D52" i="4"/>
  <c r="C52" i="4"/>
  <c r="E52" i="4" s="1"/>
  <c r="G52" i="4" s="1"/>
  <c r="E47" i="10" l="1"/>
  <c r="G47" i="10" s="1"/>
  <c r="C45" i="9"/>
  <c r="D45" i="9"/>
  <c r="D294" i="8"/>
  <c r="C294" i="8"/>
  <c r="E294" i="8" s="1"/>
  <c r="G294" i="8"/>
  <c r="E100" i="8"/>
  <c r="G100" i="8" s="1"/>
  <c r="D48" i="8"/>
  <c r="C48" i="8"/>
  <c r="E48" i="8" s="1"/>
  <c r="G48" i="8" s="1"/>
  <c r="D53" i="4"/>
  <c r="C53" i="4"/>
  <c r="E53" i="4" s="1"/>
  <c r="G53" i="4" s="1"/>
  <c r="C48" i="10" l="1"/>
  <c r="D48" i="10"/>
  <c r="E45" i="9"/>
  <c r="G45" i="9" s="1"/>
  <c r="C295" i="8"/>
  <c r="D295" i="8"/>
  <c r="C101" i="8"/>
  <c r="D101" i="8"/>
  <c r="C49" i="8"/>
  <c r="D49" i="8"/>
  <c r="D54" i="4"/>
  <c r="C54" i="4"/>
  <c r="E54" i="4" s="1"/>
  <c r="G54" i="4" s="1"/>
  <c r="E48" i="10" l="1"/>
  <c r="G48" i="10" s="1"/>
  <c r="D46" i="9"/>
  <c r="C46" i="9"/>
  <c r="E46" i="9" s="1"/>
  <c r="G46" i="9" s="1"/>
  <c r="E295" i="8"/>
  <c r="G295" i="8" s="1"/>
  <c r="E101" i="8"/>
  <c r="G101" i="8" s="1"/>
  <c r="E49" i="8"/>
  <c r="G49" i="8" s="1"/>
  <c r="C55" i="4"/>
  <c r="D55" i="4"/>
  <c r="D49" i="10" l="1"/>
  <c r="C49" i="10"/>
  <c r="E49" i="10" s="1"/>
  <c r="G49" i="10" s="1"/>
  <c r="D47" i="9"/>
  <c r="C47" i="9"/>
  <c r="E47" i="9" s="1"/>
  <c r="G47" i="9" s="1"/>
  <c r="C296" i="8"/>
  <c r="D296" i="8"/>
  <c r="C102" i="8"/>
  <c r="D102" i="8"/>
  <c r="D50" i="8"/>
  <c r="C50" i="8"/>
  <c r="E50" i="8" s="1"/>
  <c r="G50" i="8" s="1"/>
  <c r="E55" i="4"/>
  <c r="G55" i="4" s="1"/>
  <c r="C50" i="10" l="1"/>
  <c r="D50" i="10"/>
  <c r="D48" i="9"/>
  <c r="C48" i="9"/>
  <c r="E48" i="9" s="1"/>
  <c r="G48" i="9" s="1"/>
  <c r="E296" i="8"/>
  <c r="G296" i="8" s="1"/>
  <c r="E102" i="8"/>
  <c r="G102" i="8" s="1"/>
  <c r="D51" i="8"/>
  <c r="C51" i="8"/>
  <c r="E51" i="8" s="1"/>
  <c r="G51" i="8" s="1"/>
  <c r="C56" i="4"/>
  <c r="D56" i="4"/>
  <c r="E50" i="10" l="1"/>
  <c r="G50" i="10" s="1"/>
  <c r="C49" i="9"/>
  <c r="D49" i="9"/>
  <c r="C297" i="8"/>
  <c r="D297" i="8"/>
  <c r="C103" i="8"/>
  <c r="D103" i="8"/>
  <c r="D52" i="8"/>
  <c r="C52" i="8"/>
  <c r="E52" i="8" s="1"/>
  <c r="G52" i="8" s="1"/>
  <c r="E56" i="4"/>
  <c r="G56" i="4" s="1"/>
  <c r="C51" i="10" l="1"/>
  <c r="D51" i="10"/>
  <c r="E49" i="9"/>
  <c r="G49" i="9" s="1"/>
  <c r="C50" i="9"/>
  <c r="D50" i="9"/>
  <c r="E297" i="8"/>
  <c r="G297" i="8" s="1"/>
  <c r="E103" i="8"/>
  <c r="G103" i="8" s="1"/>
  <c r="C53" i="8"/>
  <c r="D53" i="8"/>
  <c r="D57" i="4"/>
  <c r="C57" i="4"/>
  <c r="E57" i="4" s="1"/>
  <c r="G57" i="4" s="1"/>
  <c r="E51" i="10" l="1"/>
  <c r="G51" i="10" s="1"/>
  <c r="E50" i="9"/>
  <c r="G50" i="9" s="1"/>
  <c r="C298" i="8"/>
  <c r="D298" i="8"/>
  <c r="D104" i="8"/>
  <c r="C104" i="8"/>
  <c r="E104" i="8" s="1"/>
  <c r="G104" i="8" s="1"/>
  <c r="E53" i="8"/>
  <c r="G53" i="8" s="1"/>
  <c r="D58" i="4"/>
  <c r="F3" i="4" s="1"/>
  <c r="F4" i="4" s="1"/>
  <c r="C58" i="4"/>
  <c r="E58" i="4" l="1"/>
  <c r="G58" i="4" s="1"/>
  <c r="F5" i="4"/>
  <c r="C52" i="10"/>
  <c r="D52" i="10"/>
  <c r="C51" i="9"/>
  <c r="D51" i="9"/>
  <c r="E298" i="8"/>
  <c r="G298" i="8" s="1"/>
  <c r="C105" i="8"/>
  <c r="D105" i="8"/>
  <c r="C54" i="8"/>
  <c r="D54" i="8"/>
  <c r="E52" i="10" l="1"/>
  <c r="G52" i="10" s="1"/>
  <c r="E51" i="9"/>
  <c r="G51" i="9" s="1"/>
  <c r="C299" i="8"/>
  <c r="D299" i="8"/>
  <c r="E105" i="8"/>
  <c r="G105" i="8" s="1"/>
  <c r="E54" i="8"/>
  <c r="G54" i="8" s="1"/>
  <c r="D55" i="8"/>
  <c r="C55" i="8"/>
  <c r="E55" i="8" s="1"/>
  <c r="G55" i="8" s="1"/>
  <c r="D53" i="10" l="1"/>
  <c r="C53" i="10"/>
  <c r="E53" i="10" s="1"/>
  <c r="G53" i="10" s="1"/>
  <c r="D52" i="9"/>
  <c r="C52" i="9"/>
  <c r="E52" i="9" s="1"/>
  <c r="G52" i="9" s="1"/>
  <c r="E299" i="8"/>
  <c r="G299" i="8" s="1"/>
  <c r="C106" i="8"/>
  <c r="D106" i="8"/>
  <c r="D56" i="8"/>
  <c r="C56" i="8"/>
  <c r="E56" i="8" s="1"/>
  <c r="G56" i="8" s="1"/>
  <c r="C54" i="10" l="1"/>
  <c r="D54" i="10"/>
  <c r="C53" i="9"/>
  <c r="D53" i="9"/>
  <c r="C300" i="8"/>
  <c r="D300" i="8"/>
  <c r="E106" i="8"/>
  <c r="G106" i="8" s="1"/>
  <c r="D57" i="8"/>
  <c r="C57" i="8"/>
  <c r="E57" i="8" s="1"/>
  <c r="G57" i="8"/>
  <c r="E54" i="10" l="1"/>
  <c r="G54" i="10" s="1"/>
  <c r="E53" i="9"/>
  <c r="G53" i="9" s="1"/>
  <c r="E300" i="8"/>
  <c r="G300" i="8" s="1"/>
  <c r="C107" i="8"/>
  <c r="D107" i="8"/>
  <c r="D58" i="8"/>
  <c r="F4" i="8" s="1"/>
  <c r="C58" i="8"/>
  <c r="C55" i="10" l="1"/>
  <c r="D55" i="10"/>
  <c r="D54" i="9"/>
  <c r="C54" i="9"/>
  <c r="E54" i="9" s="1"/>
  <c r="G54" i="9" s="1"/>
  <c r="C301" i="8"/>
  <c r="D301" i="8"/>
  <c r="E107" i="8"/>
  <c r="G107" i="8" s="1"/>
  <c r="E58" i="8"/>
  <c r="G58" i="8" s="1"/>
  <c r="E55" i="10" l="1"/>
  <c r="G55" i="10" s="1"/>
  <c r="C55" i="9"/>
  <c r="D55" i="9"/>
  <c r="E301" i="8"/>
  <c r="G301" i="8" s="1"/>
  <c r="D108" i="8"/>
  <c r="C108" i="8"/>
  <c r="E108" i="8" s="1"/>
  <c r="G108" i="8"/>
  <c r="C56" i="10" l="1"/>
  <c r="D56" i="10"/>
  <c r="E55" i="9"/>
  <c r="G55" i="9" s="1"/>
  <c r="C302" i="8"/>
  <c r="D302" i="8"/>
  <c r="C109" i="8"/>
  <c r="D109" i="8"/>
  <c r="E56" i="10" l="1"/>
  <c r="G56" i="10" s="1"/>
  <c r="D56" i="9"/>
  <c r="C56" i="9"/>
  <c r="E56" i="9" s="1"/>
  <c r="G56" i="9"/>
  <c r="E302" i="8"/>
  <c r="G302" i="8" s="1"/>
  <c r="E109" i="8"/>
  <c r="G109" i="8" s="1"/>
  <c r="D57" i="10" l="1"/>
  <c r="C57" i="10"/>
  <c r="E57" i="10" s="1"/>
  <c r="G57" i="10" s="1"/>
  <c r="C57" i="9"/>
  <c r="D57" i="9"/>
  <c r="C303" i="8"/>
  <c r="D303" i="8"/>
  <c r="C110" i="8"/>
  <c r="D110" i="8"/>
  <c r="D58" i="10" l="1"/>
  <c r="C58" i="10"/>
  <c r="E58" i="10" s="1"/>
  <c r="G58" i="10" s="1"/>
  <c r="E57" i="9"/>
  <c r="G57" i="9" s="1"/>
  <c r="E303" i="8"/>
  <c r="G303" i="8" s="1"/>
  <c r="E110" i="8"/>
  <c r="G110" i="8" s="1"/>
  <c r="C59" i="10" l="1"/>
  <c r="D59" i="10"/>
  <c r="D58" i="9"/>
  <c r="C58" i="9"/>
  <c r="E58" i="9" s="1"/>
  <c r="G58" i="9" s="1"/>
  <c r="C304" i="8"/>
  <c r="D304" i="8"/>
  <c r="C111" i="8"/>
  <c r="D111" i="8"/>
  <c r="E59" i="10" l="1"/>
  <c r="G59" i="10" s="1"/>
  <c r="D59" i="9"/>
  <c r="C59" i="9"/>
  <c r="E59" i="9" s="1"/>
  <c r="G59" i="9" s="1"/>
  <c r="E304" i="8"/>
  <c r="G304" i="8" s="1"/>
  <c r="E111" i="8"/>
  <c r="G111" i="8" s="1"/>
  <c r="D60" i="10" l="1"/>
  <c r="C60" i="10"/>
  <c r="E60" i="10" s="1"/>
  <c r="G60" i="10" s="1"/>
  <c r="D60" i="9"/>
  <c r="C60" i="9"/>
  <c r="E60" i="9" s="1"/>
  <c r="G60" i="9" s="1"/>
  <c r="C305" i="8"/>
  <c r="D305" i="8"/>
  <c r="D112" i="8"/>
  <c r="C112" i="8"/>
  <c r="E112" i="8" s="1"/>
  <c r="G112" i="8" s="1"/>
  <c r="D61" i="10" l="1"/>
  <c r="C61" i="10"/>
  <c r="E61" i="10" s="1"/>
  <c r="G61" i="10" s="1"/>
  <c r="C61" i="9"/>
  <c r="D61" i="9"/>
  <c r="E305" i="8"/>
  <c r="G305" i="8" s="1"/>
  <c r="C113" i="8"/>
  <c r="D113" i="8"/>
  <c r="C62" i="10" l="1"/>
  <c r="D62" i="10"/>
  <c r="E61" i="9"/>
  <c r="G61" i="9" s="1"/>
  <c r="C306" i="8"/>
  <c r="D306" i="8"/>
  <c r="E113" i="8"/>
  <c r="G113" i="8" s="1"/>
  <c r="E62" i="10" l="1"/>
  <c r="G62" i="10" s="1"/>
  <c r="D62" i="9"/>
  <c r="C62" i="9"/>
  <c r="E62" i="9" s="1"/>
  <c r="G62" i="9" s="1"/>
  <c r="E306" i="8"/>
  <c r="G306" i="8" s="1"/>
  <c r="C114" i="8"/>
  <c r="D114" i="8"/>
  <c r="D63" i="10" l="1"/>
  <c r="C63" i="10"/>
  <c r="E63" i="10" s="1"/>
  <c r="G63" i="10" s="1"/>
  <c r="D63" i="9"/>
  <c r="C63" i="9"/>
  <c r="E63" i="9" s="1"/>
  <c r="G63" i="9"/>
  <c r="C307" i="8"/>
  <c r="D307" i="8"/>
  <c r="E114" i="8"/>
  <c r="G114" i="8" s="1"/>
  <c r="D64" i="10" l="1"/>
  <c r="C64" i="10"/>
  <c r="E64" i="10" s="1"/>
  <c r="G64" i="10"/>
  <c r="D64" i="9"/>
  <c r="C64" i="9"/>
  <c r="E64" i="9" s="1"/>
  <c r="G64" i="9" s="1"/>
  <c r="E307" i="8"/>
  <c r="G307" i="8" s="1"/>
  <c r="C115" i="8"/>
  <c r="D115" i="8"/>
  <c r="D65" i="10" l="1"/>
  <c r="C65" i="10"/>
  <c r="E65" i="10" s="1"/>
  <c r="G65" i="10" s="1"/>
  <c r="C65" i="9"/>
  <c r="D65" i="9"/>
  <c r="C308" i="8"/>
  <c r="D308" i="8"/>
  <c r="E115" i="8"/>
  <c r="G115" i="8" s="1"/>
  <c r="C66" i="10" l="1"/>
  <c r="D66" i="10"/>
  <c r="E65" i="9"/>
  <c r="G65" i="9" s="1"/>
  <c r="E308" i="8"/>
  <c r="G308" i="8" s="1"/>
  <c r="D116" i="8"/>
  <c r="C116" i="8"/>
  <c r="E116" i="8" s="1"/>
  <c r="G116" i="8"/>
  <c r="E66" i="10" l="1"/>
  <c r="G66" i="10" s="1"/>
  <c r="D66" i="9"/>
  <c r="C66" i="9"/>
  <c r="E66" i="9" s="1"/>
  <c r="G66" i="9" s="1"/>
  <c r="C309" i="8"/>
  <c r="D309" i="8"/>
  <c r="C117" i="8"/>
  <c r="D117" i="8"/>
  <c r="D67" i="10" l="1"/>
  <c r="C67" i="10"/>
  <c r="E67" i="10" s="1"/>
  <c r="G67" i="10" s="1"/>
  <c r="D67" i="9"/>
  <c r="C67" i="9"/>
  <c r="E67" i="9" s="1"/>
  <c r="G67" i="9" s="1"/>
  <c r="E309" i="8"/>
  <c r="G309" i="8" s="1"/>
  <c r="E117" i="8"/>
  <c r="G117" i="8" s="1"/>
  <c r="C68" i="10" l="1"/>
  <c r="D68" i="10"/>
  <c r="C68" i="9"/>
  <c r="D68" i="9"/>
  <c r="D310" i="8"/>
  <c r="C310" i="8"/>
  <c r="E310" i="8" s="1"/>
  <c r="G310" i="8"/>
  <c r="C118" i="8"/>
  <c r="D118" i="8"/>
  <c r="E68" i="10" l="1"/>
  <c r="G68" i="10" s="1"/>
  <c r="E68" i="9"/>
  <c r="G68" i="9" s="1"/>
  <c r="C311" i="8"/>
  <c r="D311" i="8"/>
  <c r="E118" i="8"/>
  <c r="G118" i="8" s="1"/>
  <c r="D69" i="10" l="1"/>
  <c r="C69" i="10"/>
  <c r="E69" i="10" s="1"/>
  <c r="G69" i="10" s="1"/>
  <c r="C69" i="9"/>
  <c r="D69" i="9"/>
  <c r="E311" i="8"/>
  <c r="G311" i="8" s="1"/>
  <c r="C119" i="8"/>
  <c r="D119" i="8"/>
  <c r="C70" i="10" l="1"/>
  <c r="D70" i="10"/>
  <c r="E69" i="9"/>
  <c r="G69" i="9" s="1"/>
  <c r="D312" i="8"/>
  <c r="C312" i="8"/>
  <c r="E312" i="8" s="1"/>
  <c r="G312" i="8" s="1"/>
  <c r="E119" i="8"/>
  <c r="G119" i="8" s="1"/>
  <c r="E70" i="10" l="1"/>
  <c r="G70" i="10" s="1"/>
  <c r="D70" i="9"/>
  <c r="C70" i="9"/>
  <c r="E70" i="9" s="1"/>
  <c r="G70" i="9" s="1"/>
  <c r="C313" i="8"/>
  <c r="D313" i="8"/>
  <c r="C120" i="8"/>
  <c r="D120" i="8"/>
  <c r="D71" i="10" l="1"/>
  <c r="C71" i="10"/>
  <c r="E71" i="10" s="1"/>
  <c r="G71" i="10" s="1"/>
  <c r="D71" i="9"/>
  <c r="C71" i="9"/>
  <c r="E71" i="9" s="1"/>
  <c r="G71" i="9"/>
  <c r="E313" i="8"/>
  <c r="G313" i="8" s="1"/>
  <c r="E120" i="8"/>
  <c r="G120" i="8" s="1"/>
  <c r="D72" i="10" l="1"/>
  <c r="C72" i="10"/>
  <c r="E72" i="10" s="1"/>
  <c r="G72" i="10" s="1"/>
  <c r="C72" i="9"/>
  <c r="D72" i="9"/>
  <c r="C314" i="8"/>
  <c r="D314" i="8"/>
  <c r="C121" i="8"/>
  <c r="D121" i="8"/>
  <c r="D73" i="10" l="1"/>
  <c r="C73" i="10"/>
  <c r="E73" i="10" s="1"/>
  <c r="G73" i="10" s="1"/>
  <c r="E72" i="9"/>
  <c r="G72" i="9" s="1"/>
  <c r="E314" i="8"/>
  <c r="G314" i="8" s="1"/>
  <c r="E121" i="8"/>
  <c r="G121" i="8" s="1"/>
  <c r="D74" i="10" l="1"/>
  <c r="C74" i="10"/>
  <c r="E74" i="10" s="1"/>
  <c r="G74" i="10" s="1"/>
  <c r="C73" i="9"/>
  <c r="D73" i="9"/>
  <c r="C315" i="8"/>
  <c r="D315" i="8"/>
  <c r="D122" i="8"/>
  <c r="C122" i="8"/>
  <c r="E122" i="8" s="1"/>
  <c r="G122" i="8" s="1"/>
  <c r="D75" i="10" l="1"/>
  <c r="C75" i="10"/>
  <c r="E75" i="10" s="1"/>
  <c r="G75" i="10"/>
  <c r="E73" i="9"/>
  <c r="G73" i="9" s="1"/>
  <c r="E315" i="8"/>
  <c r="G315" i="8" s="1"/>
  <c r="C123" i="8"/>
  <c r="D123" i="8"/>
  <c r="D76" i="10" l="1"/>
  <c r="C76" i="10"/>
  <c r="E76" i="10" s="1"/>
  <c r="G76" i="10" s="1"/>
  <c r="C74" i="9"/>
  <c r="D74" i="9"/>
  <c r="D316" i="8"/>
  <c r="C316" i="8"/>
  <c r="E316" i="8" s="1"/>
  <c r="G316" i="8" s="1"/>
  <c r="E123" i="8"/>
  <c r="G123" i="8" s="1"/>
  <c r="D77" i="10" l="1"/>
  <c r="C77" i="10"/>
  <c r="E77" i="10" s="1"/>
  <c r="G77" i="10" s="1"/>
  <c r="E74" i="9"/>
  <c r="G74" i="9" s="1"/>
  <c r="C317" i="8"/>
  <c r="D317" i="8"/>
  <c r="C124" i="8"/>
  <c r="D124" i="8"/>
  <c r="C78" i="10" l="1"/>
  <c r="D78" i="10"/>
  <c r="D75" i="9"/>
  <c r="C75" i="9"/>
  <c r="E75" i="9" s="1"/>
  <c r="G75" i="9" s="1"/>
  <c r="E317" i="8"/>
  <c r="G317" i="8" s="1"/>
  <c r="E124" i="8"/>
  <c r="G124" i="8" s="1"/>
  <c r="E78" i="10" l="1"/>
  <c r="G78" i="10" s="1"/>
  <c r="D76" i="9"/>
  <c r="C76" i="9"/>
  <c r="E76" i="9" s="1"/>
  <c r="G76" i="9" s="1"/>
  <c r="C318" i="8"/>
  <c r="D318" i="8"/>
  <c r="C125" i="8"/>
  <c r="D125" i="8"/>
  <c r="D79" i="10" l="1"/>
  <c r="C79" i="10"/>
  <c r="E79" i="10" s="1"/>
  <c r="G79" i="10" s="1"/>
  <c r="C77" i="9"/>
  <c r="D77" i="9"/>
  <c r="E318" i="8"/>
  <c r="G318" i="8" s="1"/>
  <c r="E125" i="8"/>
  <c r="G125" i="8" s="1"/>
  <c r="D80" i="10" l="1"/>
  <c r="C80" i="10"/>
  <c r="E80" i="10" s="1"/>
  <c r="G80" i="10" s="1"/>
  <c r="E77" i="9"/>
  <c r="G77" i="9" s="1"/>
  <c r="C319" i="8"/>
  <c r="D319" i="8"/>
  <c r="C126" i="8"/>
  <c r="D126" i="8"/>
  <c r="D81" i="10" l="1"/>
  <c r="C81" i="10"/>
  <c r="E81" i="10" s="1"/>
  <c r="G81" i="10" s="1"/>
  <c r="C78" i="9"/>
  <c r="D78" i="9"/>
  <c r="E319" i="8"/>
  <c r="G319" i="8" s="1"/>
  <c r="E126" i="8"/>
  <c r="G126" i="8" s="1"/>
  <c r="D82" i="10" l="1"/>
  <c r="C82" i="10"/>
  <c r="E82" i="10" s="1"/>
  <c r="G82" i="10" s="1"/>
  <c r="E78" i="9"/>
  <c r="G78" i="9" s="1"/>
  <c r="C320" i="8"/>
  <c r="D320" i="8"/>
  <c r="C127" i="8"/>
  <c r="D127" i="8"/>
  <c r="D83" i="10" l="1"/>
  <c r="C83" i="10"/>
  <c r="E83" i="10" s="1"/>
  <c r="G83" i="10" s="1"/>
  <c r="D79" i="9"/>
  <c r="C79" i="9"/>
  <c r="E79" i="9" s="1"/>
  <c r="G79" i="9" s="1"/>
  <c r="E320" i="8"/>
  <c r="G320" i="8" s="1"/>
  <c r="E127" i="8"/>
  <c r="G127" i="8" s="1"/>
  <c r="D84" i="10" l="1"/>
  <c r="C84" i="10"/>
  <c r="E84" i="10" s="1"/>
  <c r="G84" i="10" s="1"/>
  <c r="D80" i="9"/>
  <c r="C80" i="9"/>
  <c r="E80" i="9" s="1"/>
  <c r="G80" i="9" s="1"/>
  <c r="C321" i="8"/>
  <c r="D321" i="8"/>
  <c r="C128" i="8"/>
  <c r="D128" i="8"/>
  <c r="D85" i="10" l="1"/>
  <c r="C85" i="10"/>
  <c r="E85" i="10" s="1"/>
  <c r="G85" i="10" s="1"/>
  <c r="C81" i="9"/>
  <c r="D81" i="9"/>
  <c r="E321" i="8"/>
  <c r="G321" i="8" s="1"/>
  <c r="E128" i="8"/>
  <c r="G128" i="8" s="1"/>
  <c r="C86" i="10" l="1"/>
  <c r="D86" i="10"/>
  <c r="E81" i="9"/>
  <c r="G81" i="9" s="1"/>
  <c r="D322" i="8"/>
  <c r="C322" i="8"/>
  <c r="E322" i="8" s="1"/>
  <c r="G322" i="8"/>
  <c r="C129" i="8"/>
  <c r="D129" i="8"/>
  <c r="E86" i="10" l="1"/>
  <c r="G86" i="10" s="1"/>
  <c r="D82" i="9"/>
  <c r="C82" i="9"/>
  <c r="E82" i="9" s="1"/>
  <c r="G82" i="9" s="1"/>
  <c r="C323" i="8"/>
  <c r="D323" i="8"/>
  <c r="E129" i="8"/>
  <c r="G129" i="8" s="1"/>
  <c r="D87" i="10" l="1"/>
  <c r="C87" i="10"/>
  <c r="E87" i="10" s="1"/>
  <c r="G87" i="10" s="1"/>
  <c r="C83" i="9"/>
  <c r="D83" i="9"/>
  <c r="E323" i="8"/>
  <c r="G323" i="8" s="1"/>
  <c r="C130" i="8"/>
  <c r="D130" i="8"/>
  <c r="D88" i="10" l="1"/>
  <c r="C88" i="10"/>
  <c r="E88" i="10" s="1"/>
  <c r="G88" i="10"/>
  <c r="E83" i="9"/>
  <c r="G83" i="9" s="1"/>
  <c r="C324" i="8"/>
  <c r="E324" i="8" s="1"/>
  <c r="G324" i="8" s="1"/>
  <c r="D324" i="8"/>
  <c r="E130" i="8"/>
  <c r="G130" i="8" s="1"/>
  <c r="D89" i="10" l="1"/>
  <c r="C89" i="10"/>
  <c r="E89" i="10" s="1"/>
  <c r="G89" i="10" s="1"/>
  <c r="D84" i="9"/>
  <c r="C84" i="9"/>
  <c r="E84" i="9" s="1"/>
  <c r="G84" i="9" s="1"/>
  <c r="C325" i="8"/>
  <c r="D325" i="8"/>
  <c r="C131" i="8"/>
  <c r="D131" i="8"/>
  <c r="D90" i="10" l="1"/>
  <c r="C90" i="10"/>
  <c r="E90" i="10" s="1"/>
  <c r="G90" i="10" s="1"/>
  <c r="C85" i="9"/>
  <c r="D85" i="9"/>
  <c r="E325" i="8"/>
  <c r="G325" i="8" s="1"/>
  <c r="E131" i="8"/>
  <c r="G131" i="8" s="1"/>
  <c r="D91" i="10" l="1"/>
  <c r="C91" i="10"/>
  <c r="E91" i="10" s="1"/>
  <c r="G91" i="10" s="1"/>
  <c r="E85" i="9"/>
  <c r="G85" i="9" s="1"/>
  <c r="C326" i="8"/>
  <c r="D326" i="8"/>
  <c r="C132" i="8"/>
  <c r="D132" i="8"/>
  <c r="D92" i="10" l="1"/>
  <c r="C92" i="10"/>
  <c r="E92" i="10" s="1"/>
  <c r="G92" i="10" s="1"/>
  <c r="C86" i="9"/>
  <c r="D86" i="9"/>
  <c r="E326" i="8"/>
  <c r="G326" i="8" s="1"/>
  <c r="E132" i="8"/>
  <c r="G132" i="8" s="1"/>
  <c r="D93" i="10" l="1"/>
  <c r="C93" i="10"/>
  <c r="E93" i="10" s="1"/>
  <c r="G93" i="10"/>
  <c r="E86" i="9"/>
  <c r="G86" i="9" s="1"/>
  <c r="C327" i="8"/>
  <c r="D327" i="8"/>
  <c r="D133" i="8"/>
  <c r="C133" i="8"/>
  <c r="E133" i="8" s="1"/>
  <c r="G133" i="8"/>
  <c r="C94" i="10" l="1"/>
  <c r="D94" i="10"/>
  <c r="D87" i="9"/>
  <c r="C87" i="9"/>
  <c r="E327" i="8"/>
  <c r="G327" i="8" s="1"/>
  <c r="C134" i="8"/>
  <c r="D134" i="8"/>
  <c r="E94" i="10" l="1"/>
  <c r="G94" i="10" s="1"/>
  <c r="E87" i="9"/>
  <c r="G87" i="9" s="1"/>
  <c r="D88" i="9"/>
  <c r="C88" i="9"/>
  <c r="E88" i="9" s="1"/>
  <c r="G88" i="9" s="1"/>
  <c r="C328" i="8"/>
  <c r="D328" i="8"/>
  <c r="E134" i="8"/>
  <c r="G134" i="8" s="1"/>
  <c r="D95" i="10" l="1"/>
  <c r="C95" i="10"/>
  <c r="E95" i="10" s="1"/>
  <c r="G95" i="10"/>
  <c r="C89" i="9"/>
  <c r="D89" i="9"/>
  <c r="E328" i="8"/>
  <c r="G328" i="8" s="1"/>
  <c r="C135" i="8"/>
  <c r="D135" i="8"/>
  <c r="D96" i="10" l="1"/>
  <c r="C96" i="10"/>
  <c r="E96" i="10" s="1"/>
  <c r="G96" i="10" s="1"/>
  <c r="E89" i="9"/>
  <c r="G89" i="9" s="1"/>
  <c r="C329" i="8"/>
  <c r="D329" i="8"/>
  <c r="E135" i="8"/>
  <c r="G135" i="8" s="1"/>
  <c r="D97" i="10" l="1"/>
  <c r="C97" i="10"/>
  <c r="E97" i="10" s="1"/>
  <c r="G97" i="10" s="1"/>
  <c r="D90" i="9"/>
  <c r="C90" i="9"/>
  <c r="E329" i="8"/>
  <c r="G329" i="8" s="1"/>
  <c r="C136" i="8"/>
  <c r="D136" i="8"/>
  <c r="D98" i="10" l="1"/>
  <c r="C98" i="10"/>
  <c r="E98" i="10" s="1"/>
  <c r="G98" i="10" s="1"/>
  <c r="E90" i="9"/>
  <c r="G90" i="9" s="1"/>
  <c r="D91" i="9"/>
  <c r="C91" i="9"/>
  <c r="E91" i="9" s="1"/>
  <c r="G91" i="9"/>
  <c r="C330" i="8"/>
  <c r="D330" i="8"/>
  <c r="E136" i="8"/>
  <c r="G136" i="8" s="1"/>
  <c r="D99" i="10" l="1"/>
  <c r="C99" i="10"/>
  <c r="E99" i="10" s="1"/>
  <c r="G99" i="10"/>
  <c r="D92" i="9"/>
  <c r="C92" i="9"/>
  <c r="E330" i="8"/>
  <c r="G330" i="8" s="1"/>
  <c r="C137" i="8"/>
  <c r="D137" i="8"/>
  <c r="C100" i="10" l="1"/>
  <c r="D100" i="10"/>
  <c r="E92" i="9"/>
  <c r="G92" i="9" s="1"/>
  <c r="C93" i="9"/>
  <c r="D93" i="9"/>
  <c r="C331" i="8"/>
  <c r="D331" i="8"/>
  <c r="E137" i="8"/>
  <c r="G137" i="8" s="1"/>
  <c r="E100" i="10" l="1"/>
  <c r="G100" i="10" s="1"/>
  <c r="E93" i="9"/>
  <c r="G93" i="9" s="1"/>
  <c r="E331" i="8"/>
  <c r="G331" i="8" s="1"/>
  <c r="C138" i="8"/>
  <c r="D138" i="8"/>
  <c r="D101" i="10" l="1"/>
  <c r="C101" i="10"/>
  <c r="E101" i="10" s="1"/>
  <c r="G101" i="10"/>
  <c r="D94" i="9"/>
  <c r="C94" i="9"/>
  <c r="E94" i="9" s="1"/>
  <c r="G94" i="9" s="1"/>
  <c r="D332" i="8"/>
  <c r="C332" i="8"/>
  <c r="E332" i="8" s="1"/>
  <c r="G332" i="8" s="1"/>
  <c r="E138" i="8"/>
  <c r="G138" i="8" s="1"/>
  <c r="D102" i="10" l="1"/>
  <c r="C102" i="10"/>
  <c r="E102" i="10" s="1"/>
  <c r="G102" i="10"/>
  <c r="D95" i="9"/>
  <c r="C95" i="9"/>
  <c r="C333" i="8"/>
  <c r="D333" i="8"/>
  <c r="C139" i="8"/>
  <c r="D139" i="8"/>
  <c r="D103" i="10" l="1"/>
  <c r="C103" i="10"/>
  <c r="E103" i="10" s="1"/>
  <c r="G103" i="10"/>
  <c r="E95" i="9"/>
  <c r="G95" i="9" s="1"/>
  <c r="D96" i="9"/>
  <c r="C96" i="9"/>
  <c r="E96" i="9" s="1"/>
  <c r="G96" i="9" s="1"/>
  <c r="E333" i="8"/>
  <c r="G333" i="8" s="1"/>
  <c r="E139" i="8"/>
  <c r="G139" i="8" s="1"/>
  <c r="C104" i="10" l="1"/>
  <c r="D104" i="10"/>
  <c r="C97" i="9"/>
  <c r="D97" i="9"/>
  <c r="D334" i="8"/>
  <c r="C334" i="8"/>
  <c r="E334" i="8" s="1"/>
  <c r="G334" i="8"/>
  <c r="C140" i="8"/>
  <c r="D140" i="8"/>
  <c r="E104" i="10" l="1"/>
  <c r="G104" i="10" s="1"/>
  <c r="E97" i="9"/>
  <c r="G97" i="9" s="1"/>
  <c r="C335" i="8"/>
  <c r="D335" i="8"/>
  <c r="E140" i="8"/>
  <c r="G140" i="8" s="1"/>
  <c r="D105" i="10" l="1"/>
  <c r="C105" i="10"/>
  <c r="E105" i="10" s="1"/>
  <c r="G105" i="10" s="1"/>
  <c r="D98" i="9"/>
  <c r="C98" i="9"/>
  <c r="E335" i="8"/>
  <c r="G335" i="8" s="1"/>
  <c r="D141" i="8"/>
  <c r="C141" i="8"/>
  <c r="E141" i="8" s="1"/>
  <c r="G141" i="8" s="1"/>
  <c r="D106" i="10" l="1"/>
  <c r="C106" i="10"/>
  <c r="E106" i="10" s="1"/>
  <c r="G106" i="10" s="1"/>
  <c r="E98" i="9"/>
  <c r="G98" i="9" s="1"/>
  <c r="D99" i="9"/>
  <c r="C99" i="9"/>
  <c r="E99" i="9" s="1"/>
  <c r="G99" i="9"/>
  <c r="C336" i="8"/>
  <c r="D336" i="8"/>
  <c r="D142" i="8"/>
  <c r="C142" i="8"/>
  <c r="E142" i="8" s="1"/>
  <c r="G142" i="8" s="1"/>
  <c r="D107" i="10" l="1"/>
  <c r="C107" i="10"/>
  <c r="E107" i="10" s="1"/>
  <c r="G107" i="10"/>
  <c r="C100" i="9"/>
  <c r="D100" i="9"/>
  <c r="E336" i="8"/>
  <c r="G336" i="8" s="1"/>
  <c r="C143" i="8"/>
  <c r="D143" i="8"/>
  <c r="C108" i="10" l="1"/>
  <c r="D108" i="10"/>
  <c r="E100" i="9"/>
  <c r="G100" i="9" s="1"/>
  <c r="C337" i="8"/>
  <c r="D337" i="8"/>
  <c r="E143" i="8"/>
  <c r="G143" i="8" s="1"/>
  <c r="E108" i="10" l="1"/>
  <c r="G108" i="10" s="1"/>
  <c r="C101" i="9"/>
  <c r="D101" i="9"/>
  <c r="E337" i="8"/>
  <c r="G337" i="8" s="1"/>
  <c r="C144" i="8"/>
  <c r="D144" i="8"/>
  <c r="D109" i="10" l="1"/>
  <c r="C109" i="10"/>
  <c r="E109" i="10" s="1"/>
  <c r="G109" i="10" s="1"/>
  <c r="E101" i="9"/>
  <c r="G101" i="9" s="1"/>
  <c r="C338" i="8"/>
  <c r="D338" i="8"/>
  <c r="E144" i="8"/>
  <c r="G144" i="8" s="1"/>
  <c r="C110" i="10" l="1"/>
  <c r="D110" i="10"/>
  <c r="D102" i="9"/>
  <c r="C102" i="9"/>
  <c r="E102" i="9" s="1"/>
  <c r="G102" i="9" s="1"/>
  <c r="E338" i="8"/>
  <c r="G338" i="8" s="1"/>
  <c r="C145" i="8"/>
  <c r="D145" i="8"/>
  <c r="E110" i="10" l="1"/>
  <c r="G110" i="10" s="1"/>
  <c r="D103" i="9"/>
  <c r="C103" i="9"/>
  <c r="E103" i="9" s="1"/>
  <c r="G103" i="9"/>
  <c r="C339" i="8"/>
  <c r="D339" i="8"/>
  <c r="E145" i="8"/>
  <c r="G145" i="8" s="1"/>
  <c r="D111" i="10" l="1"/>
  <c r="C111" i="10"/>
  <c r="E111" i="10" s="1"/>
  <c r="G111" i="10" s="1"/>
  <c r="C104" i="9"/>
  <c r="D104" i="9"/>
  <c r="E339" i="8"/>
  <c r="G339" i="8" s="1"/>
  <c r="C146" i="8"/>
  <c r="D146" i="8"/>
  <c r="D112" i="10" l="1"/>
  <c r="C112" i="10"/>
  <c r="E112" i="10" s="1"/>
  <c r="G112" i="10"/>
  <c r="E104" i="9"/>
  <c r="G104" i="9" s="1"/>
  <c r="C340" i="8"/>
  <c r="D340" i="8"/>
  <c r="E146" i="8"/>
  <c r="G146" i="8" s="1"/>
  <c r="D113" i="10" l="1"/>
  <c r="C113" i="10"/>
  <c r="E113" i="10" s="1"/>
  <c r="G113" i="10"/>
  <c r="C105" i="9"/>
  <c r="D105" i="9"/>
  <c r="E340" i="8"/>
  <c r="G340" i="8" s="1"/>
  <c r="C147" i="8"/>
  <c r="D147" i="8"/>
  <c r="D114" i="10" l="1"/>
  <c r="C114" i="10"/>
  <c r="E114" i="10" s="1"/>
  <c r="G114" i="10" s="1"/>
  <c r="E105" i="9"/>
  <c r="G105" i="9" s="1"/>
  <c r="C106" i="9"/>
  <c r="D106" i="9"/>
  <c r="C341" i="8"/>
  <c r="D341" i="8"/>
  <c r="E147" i="8"/>
  <c r="G147" i="8" s="1"/>
  <c r="D115" i="10" l="1"/>
  <c r="C115" i="10"/>
  <c r="E115" i="10" s="1"/>
  <c r="G115" i="10" s="1"/>
  <c r="E106" i="9"/>
  <c r="G106" i="9" s="1"/>
  <c r="E341" i="8"/>
  <c r="G341" i="8" s="1"/>
  <c r="C148" i="8"/>
  <c r="D148" i="8"/>
  <c r="C116" i="10" l="1"/>
  <c r="D116" i="10"/>
  <c r="D107" i="9"/>
  <c r="C107" i="9"/>
  <c r="E107" i="9" s="1"/>
  <c r="G107" i="9" s="1"/>
  <c r="C342" i="8"/>
  <c r="D342" i="8"/>
  <c r="E148" i="8"/>
  <c r="G148" i="8" s="1"/>
  <c r="E116" i="10" l="1"/>
  <c r="G116" i="10" s="1"/>
  <c r="C108" i="9"/>
  <c r="D108" i="9"/>
  <c r="E342" i="8"/>
  <c r="G342" i="8" s="1"/>
  <c r="D149" i="8"/>
  <c r="C149" i="8"/>
  <c r="E149" i="8" s="1"/>
  <c r="G149" i="8"/>
  <c r="D117" i="10" l="1"/>
  <c r="C117" i="10"/>
  <c r="E117" i="10" s="1"/>
  <c r="G117" i="10"/>
  <c r="E108" i="9"/>
  <c r="G108" i="9" s="1"/>
  <c r="C343" i="8"/>
  <c r="D343" i="8"/>
  <c r="D150" i="8"/>
  <c r="C150" i="8"/>
  <c r="E150" i="8" s="1"/>
  <c r="G150" i="8" s="1"/>
  <c r="C118" i="10" l="1"/>
  <c r="D118" i="10"/>
  <c r="C109" i="9"/>
  <c r="D109" i="9"/>
  <c r="E343" i="8"/>
  <c r="G343" i="8" s="1"/>
  <c r="C151" i="8"/>
  <c r="D151" i="8"/>
  <c r="E118" i="10" l="1"/>
  <c r="G118" i="10" s="1"/>
  <c r="E109" i="9"/>
  <c r="G109" i="9" s="1"/>
  <c r="C344" i="8"/>
  <c r="D344" i="8"/>
  <c r="E151" i="8"/>
  <c r="G151" i="8" s="1"/>
  <c r="D119" i="10" l="1"/>
  <c r="C119" i="10"/>
  <c r="E119" i="10" s="1"/>
  <c r="G119" i="10" s="1"/>
  <c r="C110" i="9"/>
  <c r="D110" i="9"/>
  <c r="E344" i="8"/>
  <c r="G344" i="8" s="1"/>
  <c r="C152" i="8"/>
  <c r="D152" i="8"/>
  <c r="D120" i="10" l="1"/>
  <c r="C120" i="10"/>
  <c r="E120" i="10" s="1"/>
  <c r="G120" i="10" s="1"/>
  <c r="E110" i="9"/>
  <c r="G110" i="9" s="1"/>
  <c r="C345" i="8"/>
  <c r="D345" i="8"/>
  <c r="E152" i="8"/>
  <c r="G152" i="8" s="1"/>
  <c r="D121" i="10" l="1"/>
  <c r="C121" i="10"/>
  <c r="E121" i="10" s="1"/>
  <c r="G121" i="10" s="1"/>
  <c r="D111" i="9"/>
  <c r="C111" i="9"/>
  <c r="E111" i="9" s="1"/>
  <c r="G111" i="9" s="1"/>
  <c r="E345" i="8"/>
  <c r="G345" i="8" s="1"/>
  <c r="C153" i="8"/>
  <c r="D153" i="8"/>
  <c r="D122" i="10" l="1"/>
  <c r="C122" i="10"/>
  <c r="E122" i="10" s="1"/>
  <c r="G122" i="10" s="1"/>
  <c r="D112" i="9"/>
  <c r="C112" i="9"/>
  <c r="E112" i="9" s="1"/>
  <c r="G112" i="9" s="1"/>
  <c r="D346" i="8"/>
  <c r="C346" i="8"/>
  <c r="E346" i="8" s="1"/>
  <c r="G346" i="8"/>
  <c r="E153" i="8"/>
  <c r="G153" i="8" s="1"/>
  <c r="D123" i="10" l="1"/>
  <c r="C123" i="10"/>
  <c r="E123" i="10" s="1"/>
  <c r="G123" i="10"/>
  <c r="C113" i="9"/>
  <c r="D113" i="9"/>
  <c r="C347" i="8"/>
  <c r="D347" i="8"/>
  <c r="C154" i="8"/>
  <c r="D154" i="8"/>
  <c r="D124" i="10" l="1"/>
  <c r="C124" i="10"/>
  <c r="E124" i="10" s="1"/>
  <c r="G124" i="10" s="1"/>
  <c r="E113" i="9"/>
  <c r="G113" i="9" s="1"/>
  <c r="D114" i="9"/>
  <c r="C114" i="9"/>
  <c r="E114" i="9" s="1"/>
  <c r="G114" i="9" s="1"/>
  <c r="E347" i="8"/>
  <c r="G347" i="8" s="1"/>
  <c r="E154" i="8"/>
  <c r="G154" i="8" s="1"/>
  <c r="D125" i="10" l="1"/>
  <c r="C125" i="10"/>
  <c r="E125" i="10" s="1"/>
  <c r="G125" i="10"/>
  <c r="C115" i="9"/>
  <c r="D115" i="9"/>
  <c r="D348" i="8"/>
  <c r="C348" i="8"/>
  <c r="E348" i="8" s="1"/>
  <c r="G348" i="8" s="1"/>
  <c r="C155" i="8"/>
  <c r="D155" i="8"/>
  <c r="C126" i="10" l="1"/>
  <c r="D126" i="10"/>
  <c r="E115" i="9"/>
  <c r="G115" i="9" s="1"/>
  <c r="C349" i="8"/>
  <c r="D349" i="8"/>
  <c r="E155" i="8"/>
  <c r="G155" i="8" s="1"/>
  <c r="E126" i="10" l="1"/>
  <c r="G126" i="10" s="1"/>
  <c r="D116" i="9"/>
  <c r="C116" i="9"/>
  <c r="E116" i="9" s="1"/>
  <c r="G116" i="9" s="1"/>
  <c r="E349" i="8"/>
  <c r="G349" i="8" s="1"/>
  <c r="C156" i="8"/>
  <c r="D156" i="8"/>
  <c r="D127" i="10" l="1"/>
  <c r="C127" i="10"/>
  <c r="E127" i="10" s="1"/>
  <c r="G127" i="10" s="1"/>
  <c r="C117" i="9"/>
  <c r="D117" i="9"/>
  <c r="C350" i="8"/>
  <c r="D350" i="8"/>
  <c r="E156" i="8"/>
  <c r="G156" i="8" s="1"/>
  <c r="C128" i="10" l="1"/>
  <c r="D128" i="10"/>
  <c r="E117" i="9"/>
  <c r="G117" i="9" s="1"/>
  <c r="E350" i="8"/>
  <c r="G350" i="8" s="1"/>
  <c r="C157" i="8"/>
  <c r="D157" i="8"/>
  <c r="E128" i="10" l="1"/>
  <c r="G128" i="10" s="1"/>
  <c r="C118" i="9"/>
  <c r="D118" i="9"/>
  <c r="D351" i="8"/>
  <c r="C351" i="8"/>
  <c r="E351" i="8" s="1"/>
  <c r="G351" i="8" s="1"/>
  <c r="E157" i="8"/>
  <c r="G157" i="8" s="1"/>
  <c r="D129" i="10" l="1"/>
  <c r="C129" i="10"/>
  <c r="E129" i="10" s="1"/>
  <c r="G129" i="10" s="1"/>
  <c r="E118" i="9"/>
  <c r="G118" i="9" s="1"/>
  <c r="D158" i="8"/>
  <c r="C158" i="8"/>
  <c r="E158" i="8" s="1"/>
  <c r="G158" i="8" s="1"/>
  <c r="D130" i="10" l="1"/>
  <c r="C130" i="10"/>
  <c r="E130" i="10" s="1"/>
  <c r="G130" i="10" s="1"/>
  <c r="C119" i="9"/>
  <c r="D119" i="9"/>
  <c r="C159" i="8"/>
  <c r="D159" i="8"/>
  <c r="D131" i="10" l="1"/>
  <c r="C131" i="10"/>
  <c r="E131" i="10" s="1"/>
  <c r="G131" i="10" s="1"/>
  <c r="E119" i="9"/>
  <c r="G119" i="9" s="1"/>
  <c r="E159" i="8"/>
  <c r="G159" i="8" s="1"/>
  <c r="C132" i="10" l="1"/>
  <c r="D132" i="10"/>
  <c r="D120" i="9"/>
  <c r="C120" i="9"/>
  <c r="E120" i="9" s="1"/>
  <c r="G120" i="9"/>
  <c r="C160" i="8"/>
  <c r="D160" i="8"/>
  <c r="E132" i="10" l="1"/>
  <c r="G132" i="10" s="1"/>
  <c r="C121" i="9"/>
  <c r="D121" i="9"/>
  <c r="E160" i="8"/>
  <c r="G160" i="8" s="1"/>
  <c r="D133" i="10" l="1"/>
  <c r="C133" i="10"/>
  <c r="E133" i="10" s="1"/>
  <c r="G133" i="10"/>
  <c r="E121" i="9"/>
  <c r="G121" i="9" s="1"/>
  <c r="C161" i="8"/>
  <c r="D161" i="8"/>
  <c r="D134" i="10" l="1"/>
  <c r="C134" i="10"/>
  <c r="E134" i="10" s="1"/>
  <c r="G134" i="10" s="1"/>
  <c r="D122" i="9"/>
  <c r="C122" i="9"/>
  <c r="E122" i="9" s="1"/>
  <c r="G122" i="9" s="1"/>
  <c r="E161" i="8"/>
  <c r="G161" i="8" s="1"/>
  <c r="D135" i="10" l="1"/>
  <c r="C135" i="10"/>
  <c r="E135" i="10" s="1"/>
  <c r="G135" i="10" s="1"/>
  <c r="D123" i="9"/>
  <c r="C123" i="9"/>
  <c r="E123" i="9" s="1"/>
  <c r="G123" i="9" s="1"/>
  <c r="D162" i="8"/>
  <c r="C162" i="8"/>
  <c r="E162" i="8" s="1"/>
  <c r="G162" i="8" s="1"/>
  <c r="D136" i="10" l="1"/>
  <c r="C136" i="10"/>
  <c r="E136" i="10" s="1"/>
  <c r="G136" i="10" s="1"/>
  <c r="D124" i="9"/>
  <c r="C124" i="9"/>
  <c r="E124" i="9" s="1"/>
  <c r="G124" i="9" s="1"/>
  <c r="C163" i="8"/>
  <c r="D163" i="8"/>
  <c r="D137" i="10" l="1"/>
  <c r="C137" i="10"/>
  <c r="E137" i="10" s="1"/>
  <c r="G137" i="10" s="1"/>
  <c r="C125" i="9"/>
  <c r="D125" i="9"/>
  <c r="E163" i="8"/>
  <c r="G163" i="8" s="1"/>
  <c r="D138" i="10" l="1"/>
  <c r="C138" i="10"/>
  <c r="E138" i="10" s="1"/>
  <c r="G138" i="10" s="1"/>
  <c r="E125" i="9"/>
  <c r="G125" i="9" s="1"/>
  <c r="C164" i="8"/>
  <c r="D164" i="8"/>
  <c r="D139" i="10" l="1"/>
  <c r="C139" i="10"/>
  <c r="E139" i="10" s="1"/>
  <c r="G139" i="10" s="1"/>
  <c r="D126" i="9"/>
  <c r="C126" i="9"/>
  <c r="E126" i="9" s="1"/>
  <c r="G126" i="9" s="1"/>
  <c r="E164" i="8"/>
  <c r="G164" i="8" s="1"/>
  <c r="D140" i="10" l="1"/>
  <c r="C140" i="10"/>
  <c r="E140" i="10" s="1"/>
  <c r="G140" i="10" s="1"/>
  <c r="D127" i="9"/>
  <c r="C127" i="9"/>
  <c r="E127" i="9" s="1"/>
  <c r="G127" i="9" s="1"/>
  <c r="C165" i="8"/>
  <c r="D165" i="8"/>
  <c r="D141" i="10" l="1"/>
  <c r="C141" i="10"/>
  <c r="E141" i="10" s="1"/>
  <c r="G141" i="10" s="1"/>
  <c r="C128" i="9"/>
  <c r="D128" i="9"/>
  <c r="E165" i="8"/>
  <c r="G165" i="8" s="1"/>
  <c r="C142" i="10" l="1"/>
  <c r="D142" i="10"/>
  <c r="E128" i="9"/>
  <c r="G128" i="9" s="1"/>
  <c r="D166" i="8"/>
  <c r="C166" i="8"/>
  <c r="E166" i="8" s="1"/>
  <c r="G166" i="8" s="1"/>
  <c r="E142" i="10" l="1"/>
  <c r="G142" i="10" s="1"/>
  <c r="C129" i="9"/>
  <c r="D129" i="9"/>
  <c r="C167" i="8"/>
  <c r="D167" i="8"/>
  <c r="D143" i="10" l="1"/>
  <c r="C143" i="10"/>
  <c r="E143" i="10" s="1"/>
  <c r="G143" i="10"/>
  <c r="E129" i="9"/>
  <c r="G129" i="9" s="1"/>
  <c r="E167" i="8"/>
  <c r="G167" i="8" s="1"/>
  <c r="D144" i="10" l="1"/>
  <c r="C144" i="10"/>
  <c r="E144" i="10" s="1"/>
  <c r="G144" i="10" s="1"/>
  <c r="D130" i="9"/>
  <c r="C130" i="9"/>
  <c r="E130" i="9" s="1"/>
  <c r="G130" i="9" s="1"/>
  <c r="D168" i="8"/>
  <c r="C168" i="8"/>
  <c r="E168" i="8" s="1"/>
  <c r="G168" i="8" s="1"/>
  <c r="D145" i="10" l="1"/>
  <c r="C145" i="10"/>
  <c r="E145" i="10" s="1"/>
  <c r="G145" i="10" s="1"/>
  <c r="D131" i="9"/>
  <c r="C131" i="9"/>
  <c r="E131" i="9" s="1"/>
  <c r="G131" i="9" s="1"/>
  <c r="C169" i="8"/>
  <c r="D169" i="8"/>
  <c r="D146" i="10" l="1"/>
  <c r="C146" i="10"/>
  <c r="E146" i="10" s="1"/>
  <c r="G146" i="10" s="1"/>
  <c r="C132" i="9"/>
  <c r="D132" i="9"/>
  <c r="E169" i="8"/>
  <c r="G169" i="8" s="1"/>
  <c r="D147" i="10" l="1"/>
  <c r="C147" i="10"/>
  <c r="E147" i="10" s="1"/>
  <c r="G147" i="10"/>
  <c r="E132" i="9"/>
  <c r="G132" i="9" s="1"/>
  <c r="C170" i="8"/>
  <c r="D170" i="8"/>
  <c r="D148" i="10" l="1"/>
  <c r="C148" i="10"/>
  <c r="E148" i="10" s="1"/>
  <c r="G148" i="10" s="1"/>
  <c r="C133" i="9"/>
  <c r="D133" i="9"/>
  <c r="E170" i="8"/>
  <c r="G170" i="8" s="1"/>
  <c r="D149" i="10" l="1"/>
  <c r="C149" i="10"/>
  <c r="E149" i="10" s="1"/>
  <c r="G149" i="10"/>
  <c r="E133" i="9"/>
  <c r="G133" i="9" s="1"/>
  <c r="C171" i="8"/>
  <c r="D171" i="8"/>
  <c r="D150" i="10" l="1"/>
  <c r="C150" i="10"/>
  <c r="E150" i="10" s="1"/>
  <c r="G150" i="10"/>
  <c r="D134" i="9"/>
  <c r="C134" i="9"/>
  <c r="E134" i="9" s="1"/>
  <c r="G134" i="9" s="1"/>
  <c r="E171" i="8"/>
  <c r="G171" i="8" s="1"/>
  <c r="D151" i="10" l="1"/>
  <c r="C151" i="10"/>
  <c r="E151" i="10" s="1"/>
  <c r="G151" i="10" s="1"/>
  <c r="D135" i="9"/>
  <c r="C135" i="9"/>
  <c r="E135" i="9" s="1"/>
  <c r="G135" i="9" s="1"/>
  <c r="C172" i="8"/>
  <c r="D172" i="8"/>
  <c r="D152" i="10" l="1"/>
  <c r="C152" i="10"/>
  <c r="E152" i="10" s="1"/>
  <c r="G152" i="10" s="1"/>
  <c r="D136" i="9"/>
  <c r="C136" i="9"/>
  <c r="E136" i="9" s="1"/>
  <c r="G136" i="9" s="1"/>
  <c r="E172" i="8"/>
  <c r="G172" i="8" s="1"/>
  <c r="D153" i="10" l="1"/>
  <c r="C153" i="10"/>
  <c r="E153" i="10" s="1"/>
  <c r="G153" i="10" s="1"/>
  <c r="C137" i="9"/>
  <c r="D137" i="9"/>
  <c r="D173" i="8"/>
  <c r="C173" i="8"/>
  <c r="E173" i="8" s="1"/>
  <c r="G173" i="8" s="1"/>
  <c r="D154" i="10" l="1"/>
  <c r="C154" i="10"/>
  <c r="E154" i="10" s="1"/>
  <c r="G154" i="10"/>
  <c r="E137" i="9"/>
  <c r="G137" i="9" s="1"/>
  <c r="C174" i="8"/>
  <c r="D174" i="8"/>
  <c r="D155" i="10" l="1"/>
  <c r="C155" i="10"/>
  <c r="E155" i="10" s="1"/>
  <c r="G155" i="10"/>
  <c r="C138" i="9"/>
  <c r="D138" i="9"/>
  <c r="E174" i="8"/>
  <c r="G174" i="8" s="1"/>
  <c r="D156" i="10" l="1"/>
  <c r="C156" i="10"/>
  <c r="E156" i="10" s="1"/>
  <c r="G156" i="10" s="1"/>
  <c r="E138" i="9"/>
  <c r="G138" i="9" s="1"/>
  <c r="C175" i="8"/>
  <c r="D175" i="8"/>
  <c r="D157" i="10" l="1"/>
  <c r="C157" i="10"/>
  <c r="E157" i="10" s="1"/>
  <c r="G157" i="10"/>
  <c r="D139" i="9"/>
  <c r="C139" i="9"/>
  <c r="E139" i="9" s="1"/>
  <c r="G139" i="9"/>
  <c r="E175" i="8"/>
  <c r="G175" i="8" s="1"/>
  <c r="D158" i="10" l="1"/>
  <c r="C158" i="10"/>
  <c r="E158" i="10" s="1"/>
  <c r="G158" i="10" s="1"/>
  <c r="D140" i="9"/>
  <c r="C140" i="9"/>
  <c r="E140" i="9" s="1"/>
  <c r="G140" i="9" s="1"/>
  <c r="D176" i="8"/>
  <c r="C176" i="8"/>
  <c r="E176" i="8" s="1"/>
  <c r="G176" i="8" s="1"/>
  <c r="D159" i="10" l="1"/>
  <c r="C159" i="10"/>
  <c r="E159" i="10" s="1"/>
  <c r="G159" i="10"/>
  <c r="C141" i="9"/>
  <c r="D141" i="9"/>
  <c r="C177" i="8"/>
  <c r="D177" i="8"/>
  <c r="D160" i="10" l="1"/>
  <c r="C160" i="10"/>
  <c r="E160" i="10" s="1"/>
  <c r="G160" i="10"/>
  <c r="E141" i="9"/>
  <c r="G141" i="9" s="1"/>
  <c r="E177" i="8"/>
  <c r="G177" i="8" s="1"/>
  <c r="D161" i="10" l="1"/>
  <c r="C161" i="10"/>
  <c r="E161" i="10" s="1"/>
  <c r="G161" i="10" s="1"/>
  <c r="C142" i="9"/>
  <c r="D142" i="9"/>
  <c r="C178" i="8"/>
  <c r="D178" i="8"/>
  <c r="D162" i="10" l="1"/>
  <c r="C162" i="10"/>
  <c r="E162" i="10" s="1"/>
  <c r="G162" i="10"/>
  <c r="E142" i="9"/>
  <c r="G142" i="9" s="1"/>
  <c r="E178" i="8"/>
  <c r="G178" i="8" s="1"/>
  <c r="D163" i="10" l="1"/>
  <c r="C163" i="10"/>
  <c r="E163" i="10" s="1"/>
  <c r="G163" i="10"/>
  <c r="D143" i="9"/>
  <c r="C143" i="9"/>
  <c r="E143" i="9" s="1"/>
  <c r="G143" i="9" s="1"/>
  <c r="C179" i="8"/>
  <c r="D179" i="8"/>
  <c r="C164" i="10" l="1"/>
  <c r="D164" i="10"/>
  <c r="D144" i="9"/>
  <c r="C144" i="9"/>
  <c r="E144" i="9" s="1"/>
  <c r="G144" i="9" s="1"/>
  <c r="E179" i="8"/>
  <c r="G179" i="8" s="1"/>
  <c r="E164" i="10" l="1"/>
  <c r="G164" i="10" s="1"/>
  <c r="C145" i="9"/>
  <c r="D145" i="9"/>
  <c r="C180" i="8"/>
  <c r="D180" i="8"/>
  <c r="D165" i="10" l="1"/>
  <c r="C165" i="10"/>
  <c r="E165" i="10" s="1"/>
  <c r="G165" i="10" s="1"/>
  <c r="E145" i="9"/>
  <c r="G145" i="9" s="1"/>
  <c r="E180" i="8"/>
  <c r="G180" i="8" s="1"/>
  <c r="D166" i="10" l="1"/>
  <c r="C166" i="10"/>
  <c r="E166" i="10" s="1"/>
  <c r="G166" i="10"/>
  <c r="D146" i="9"/>
  <c r="C146" i="9"/>
  <c r="E146" i="9" s="1"/>
  <c r="G146" i="9" s="1"/>
  <c r="C181" i="8"/>
  <c r="D181" i="8"/>
  <c r="D167" i="10" l="1"/>
  <c r="C167" i="10"/>
  <c r="E167" i="10" s="1"/>
  <c r="G167" i="10"/>
  <c r="C147" i="9"/>
  <c r="D147" i="9"/>
  <c r="E181" i="8"/>
  <c r="G181" i="8" s="1"/>
  <c r="D168" i="10" l="1"/>
  <c r="C168" i="10"/>
  <c r="E168" i="10" s="1"/>
  <c r="G168" i="10"/>
  <c r="E147" i="9"/>
  <c r="G147" i="9" s="1"/>
  <c r="C182" i="8"/>
  <c r="D182" i="8"/>
  <c r="D169" i="10" l="1"/>
  <c r="C169" i="10"/>
  <c r="E169" i="10" s="1"/>
  <c r="G169" i="10"/>
  <c r="D148" i="9"/>
  <c r="C148" i="9"/>
  <c r="E148" i="9" s="1"/>
  <c r="G148" i="9" s="1"/>
  <c r="E182" i="8"/>
  <c r="G182" i="8" s="1"/>
  <c r="D170" i="10" l="1"/>
  <c r="C170" i="10"/>
  <c r="E170" i="10" s="1"/>
  <c r="G170" i="10" s="1"/>
  <c r="D149" i="9"/>
  <c r="C149" i="9"/>
  <c r="E149" i="9" s="1"/>
  <c r="G149" i="9" s="1"/>
  <c r="C183" i="8"/>
  <c r="D183" i="8"/>
  <c r="D171" i="10" l="1"/>
  <c r="C171" i="10"/>
  <c r="E171" i="10" s="1"/>
  <c r="G171" i="10"/>
  <c r="C150" i="9"/>
  <c r="D150" i="9"/>
  <c r="E183" i="8"/>
  <c r="G183" i="8" s="1"/>
  <c r="C172" i="10" l="1"/>
  <c r="D172" i="10"/>
  <c r="E150" i="9"/>
  <c r="G150" i="9" s="1"/>
  <c r="D184" i="8"/>
  <c r="C184" i="8"/>
  <c r="E184" i="8" s="1"/>
  <c r="G184" i="8"/>
  <c r="E172" i="10" l="1"/>
  <c r="G172" i="10" s="1"/>
  <c r="D151" i="9"/>
  <c r="C151" i="9"/>
  <c r="E151" i="9" s="1"/>
  <c r="G151" i="9" s="1"/>
  <c r="C185" i="8"/>
  <c r="D185" i="8"/>
  <c r="D173" i="10" l="1"/>
  <c r="C173" i="10"/>
  <c r="E173" i="10" s="1"/>
  <c r="G173" i="10" s="1"/>
  <c r="C152" i="9"/>
  <c r="D152" i="9"/>
  <c r="E185" i="8"/>
  <c r="G185" i="8" s="1"/>
  <c r="C174" i="10" l="1"/>
  <c r="D174" i="10"/>
  <c r="E152" i="9"/>
  <c r="G152" i="9" s="1"/>
  <c r="D186" i="8"/>
  <c r="C186" i="8"/>
  <c r="E186" i="8" s="1"/>
  <c r="G186" i="8" s="1"/>
  <c r="E174" i="10" l="1"/>
  <c r="G174" i="10" s="1"/>
  <c r="D153" i="9"/>
  <c r="C153" i="9"/>
  <c r="E153" i="9" s="1"/>
  <c r="G153" i="9" s="1"/>
  <c r="C187" i="8"/>
  <c r="D187" i="8"/>
  <c r="D175" i="10" l="1"/>
  <c r="C175" i="10"/>
  <c r="E175" i="10" s="1"/>
  <c r="G175" i="10" s="1"/>
  <c r="D154" i="9"/>
  <c r="C154" i="9"/>
  <c r="E154" i="9" s="1"/>
  <c r="G154" i="9" s="1"/>
  <c r="E187" i="8"/>
  <c r="G187" i="8" s="1"/>
  <c r="D176" i="10" l="1"/>
  <c r="C176" i="10"/>
  <c r="E176" i="10" s="1"/>
  <c r="G176" i="10"/>
  <c r="D155" i="9"/>
  <c r="C155" i="9"/>
  <c r="E155" i="9" s="1"/>
  <c r="G155" i="9" s="1"/>
  <c r="C188" i="8"/>
  <c r="D188" i="8"/>
  <c r="D177" i="10" l="1"/>
  <c r="C177" i="10"/>
  <c r="E177" i="10" s="1"/>
  <c r="G177" i="10"/>
  <c r="C156" i="9"/>
  <c r="D156" i="9"/>
  <c r="E188" i="8"/>
  <c r="G188" i="8" s="1"/>
  <c r="C178" i="10" l="1"/>
  <c r="D178" i="10"/>
  <c r="E156" i="9"/>
  <c r="G156" i="9" s="1"/>
  <c r="C189" i="8"/>
  <c r="D189" i="8"/>
  <c r="E178" i="10" l="1"/>
  <c r="G178" i="10" s="1"/>
  <c r="D157" i="9"/>
  <c r="C157" i="9"/>
  <c r="E157" i="9" s="1"/>
  <c r="G157" i="9" s="1"/>
  <c r="E189" i="8"/>
  <c r="G189" i="8" s="1"/>
  <c r="D179" i="10" l="1"/>
  <c r="C179" i="10"/>
  <c r="E179" i="10" s="1"/>
  <c r="G179" i="10" s="1"/>
  <c r="D158" i="9"/>
  <c r="C158" i="9"/>
  <c r="E158" i="9" s="1"/>
  <c r="G158" i="9" s="1"/>
  <c r="C190" i="8"/>
  <c r="D190" i="8"/>
  <c r="C180" i="10" l="1"/>
  <c r="D180" i="10"/>
  <c r="C159" i="9"/>
  <c r="D159" i="9"/>
  <c r="E190" i="8"/>
  <c r="G190" i="8" s="1"/>
  <c r="E180" i="10" l="1"/>
  <c r="G180" i="10" s="1"/>
  <c r="E159" i="9"/>
  <c r="G159" i="9" s="1"/>
  <c r="C191" i="8"/>
  <c r="D191" i="8"/>
  <c r="D181" i="10" l="1"/>
  <c r="C181" i="10"/>
  <c r="E181" i="10" s="1"/>
  <c r="G181" i="10" s="1"/>
  <c r="D160" i="9"/>
  <c r="C160" i="9"/>
  <c r="E160" i="9" s="1"/>
  <c r="G160" i="9" s="1"/>
  <c r="E191" i="8"/>
  <c r="G191" i="8" s="1"/>
  <c r="C182" i="10" l="1"/>
  <c r="D182" i="10"/>
  <c r="D161" i="9"/>
  <c r="C161" i="9"/>
  <c r="E161" i="9" s="1"/>
  <c r="G161" i="9" s="1"/>
  <c r="C192" i="8"/>
  <c r="D192" i="8"/>
  <c r="E182" i="10" l="1"/>
  <c r="G182" i="10" s="1"/>
  <c r="D162" i="9"/>
  <c r="C162" i="9"/>
  <c r="E162" i="9" s="1"/>
  <c r="G162" i="9" s="1"/>
  <c r="E192" i="8"/>
  <c r="G192" i="8" s="1"/>
  <c r="D183" i="10" l="1"/>
  <c r="C183" i="10"/>
  <c r="E183" i="10" s="1"/>
  <c r="G183" i="10" s="1"/>
  <c r="C163" i="9"/>
  <c r="D163" i="9"/>
  <c r="C193" i="8"/>
  <c r="D193" i="8"/>
  <c r="C184" i="10" l="1"/>
  <c r="D184" i="10"/>
  <c r="E163" i="9"/>
  <c r="G163" i="9" s="1"/>
  <c r="E193" i="8"/>
  <c r="G193" i="8" s="1"/>
  <c r="E184" i="10" l="1"/>
  <c r="G184" i="10" s="1"/>
  <c r="C164" i="9"/>
  <c r="D164" i="9"/>
  <c r="D194" i="8"/>
  <c r="C194" i="8"/>
  <c r="E194" i="8" s="1"/>
  <c r="G194" i="8" s="1"/>
  <c r="D185" i="10" l="1"/>
  <c r="C185" i="10"/>
  <c r="E185" i="10" s="1"/>
  <c r="G185" i="10" s="1"/>
  <c r="E164" i="9"/>
  <c r="G164" i="9" s="1"/>
  <c r="C195" i="8"/>
  <c r="D195" i="8"/>
  <c r="D186" i="10" l="1"/>
  <c r="C186" i="10"/>
  <c r="E186" i="10" s="1"/>
  <c r="G186" i="10" s="1"/>
  <c r="D165" i="9"/>
  <c r="C165" i="9"/>
  <c r="E165" i="9" s="1"/>
  <c r="G165" i="9" s="1"/>
  <c r="E195" i="8"/>
  <c r="G195" i="8" s="1"/>
  <c r="D187" i="10" l="1"/>
  <c r="C187" i="10"/>
  <c r="E187" i="10" s="1"/>
  <c r="G187" i="10" s="1"/>
  <c r="C166" i="9"/>
  <c r="D166" i="9"/>
  <c r="C196" i="8"/>
  <c r="D196" i="8"/>
  <c r="C188" i="10" l="1"/>
  <c r="D188" i="10"/>
  <c r="E166" i="9"/>
  <c r="G166" i="9" s="1"/>
  <c r="E196" i="8"/>
  <c r="G196" i="8" s="1"/>
  <c r="E188" i="10" l="1"/>
  <c r="G188" i="10" s="1"/>
  <c r="D167" i="9"/>
  <c r="C167" i="9"/>
  <c r="D197" i="8"/>
  <c r="C197" i="8"/>
  <c r="E197" i="8" s="1"/>
  <c r="G197" i="8"/>
  <c r="D189" i="10" l="1"/>
  <c r="C189" i="10"/>
  <c r="E189" i="10" s="1"/>
  <c r="G189" i="10" s="1"/>
  <c r="E167" i="9"/>
  <c r="G167" i="9" s="1"/>
  <c r="C198" i="8"/>
  <c r="D198" i="8"/>
  <c r="C190" i="10" l="1"/>
  <c r="D190" i="10"/>
  <c r="C168" i="9"/>
  <c r="D168" i="9"/>
  <c r="E198" i="8"/>
  <c r="G198" i="8" s="1"/>
  <c r="E190" i="10" l="1"/>
  <c r="G190" i="10" s="1"/>
  <c r="E168" i="9"/>
  <c r="G168" i="9" s="1"/>
  <c r="C199" i="8"/>
  <c r="D199" i="8"/>
  <c r="D191" i="10" l="1"/>
  <c r="C191" i="10"/>
  <c r="E191" i="10" s="1"/>
  <c r="G191" i="10" s="1"/>
  <c r="D169" i="9"/>
  <c r="C169" i="9"/>
  <c r="E169" i="9" s="1"/>
  <c r="G169" i="9" s="1"/>
  <c r="E199" i="8"/>
  <c r="G199" i="8" s="1"/>
  <c r="D192" i="10" l="1"/>
  <c r="C192" i="10"/>
  <c r="E192" i="10" s="1"/>
  <c r="G192" i="10"/>
  <c r="D170" i="9"/>
  <c r="C170" i="9"/>
  <c r="E170" i="9" s="1"/>
  <c r="G170" i="9" s="1"/>
  <c r="C200" i="8"/>
  <c r="D200" i="8"/>
  <c r="D193" i="10" l="1"/>
  <c r="C193" i="10"/>
  <c r="E193" i="10" s="1"/>
  <c r="G193" i="10" s="1"/>
  <c r="D171" i="9"/>
  <c r="C171" i="9"/>
  <c r="E171" i="9" s="1"/>
  <c r="G171" i="9" s="1"/>
  <c r="E200" i="8"/>
  <c r="G200" i="8" s="1"/>
  <c r="D194" i="10" l="1"/>
  <c r="C194" i="10"/>
  <c r="E194" i="10" s="1"/>
  <c r="G194" i="10" s="1"/>
  <c r="D172" i="9"/>
  <c r="C172" i="9"/>
  <c r="E172" i="9" s="1"/>
  <c r="G172" i="9" s="1"/>
  <c r="C201" i="8"/>
  <c r="D201" i="8"/>
  <c r="D195" i="10" l="1"/>
  <c r="C195" i="10"/>
  <c r="E195" i="10" s="1"/>
  <c r="G195" i="10" s="1"/>
  <c r="D173" i="9"/>
  <c r="C173" i="9"/>
  <c r="E173" i="9" s="1"/>
  <c r="G173" i="9" s="1"/>
  <c r="E201" i="8"/>
  <c r="G201" i="8" s="1"/>
  <c r="C196" i="10" l="1"/>
  <c r="D196" i="10"/>
  <c r="D174" i="9"/>
  <c r="C174" i="9"/>
  <c r="E174" i="9" s="1"/>
  <c r="G174" i="9" s="1"/>
  <c r="C202" i="8"/>
  <c r="D202" i="8"/>
  <c r="E196" i="10" l="1"/>
  <c r="G196" i="10" s="1"/>
  <c r="D175" i="9"/>
  <c r="C175" i="9"/>
  <c r="E202" i="8"/>
  <c r="G202" i="8" s="1"/>
  <c r="D197" i="10" l="1"/>
  <c r="C197" i="10"/>
  <c r="E197" i="10" s="1"/>
  <c r="G197" i="10" s="1"/>
  <c r="E175" i="9"/>
  <c r="G175" i="9" s="1"/>
  <c r="C203" i="8"/>
  <c r="D203" i="8"/>
  <c r="C198" i="10" l="1"/>
  <c r="D198" i="10"/>
  <c r="C176" i="9"/>
  <c r="D176" i="9"/>
  <c r="E203" i="8"/>
  <c r="G203" i="8" s="1"/>
  <c r="E198" i="10" l="1"/>
  <c r="G198" i="10" s="1"/>
  <c r="E176" i="9"/>
  <c r="G176" i="9" s="1"/>
  <c r="D204" i="8"/>
  <c r="C204" i="8"/>
  <c r="E204" i="8" s="1"/>
  <c r="G204" i="8" s="1"/>
  <c r="D199" i="10" l="1"/>
  <c r="C199" i="10"/>
  <c r="E199" i="10" s="1"/>
  <c r="G199" i="10" s="1"/>
  <c r="D177" i="9"/>
  <c r="C177" i="9"/>
  <c r="E177" i="9" s="1"/>
  <c r="G177" i="9" s="1"/>
  <c r="C205" i="8"/>
  <c r="D205" i="8"/>
  <c r="D200" i="10" l="1"/>
  <c r="C200" i="10"/>
  <c r="E200" i="10" s="1"/>
  <c r="G200" i="10" s="1"/>
  <c r="D178" i="9"/>
  <c r="C178" i="9"/>
  <c r="E178" i="9" s="1"/>
  <c r="G178" i="9" s="1"/>
  <c r="E205" i="8"/>
  <c r="G205" i="8" s="1"/>
  <c r="D201" i="10" l="1"/>
  <c r="C201" i="10"/>
  <c r="E201" i="10" s="1"/>
  <c r="G201" i="10" s="1"/>
  <c r="D179" i="9"/>
  <c r="C179" i="9"/>
  <c r="E179" i="9" s="1"/>
  <c r="G179" i="9" s="1"/>
  <c r="C206" i="8"/>
  <c r="D206" i="8"/>
  <c r="C202" i="10" l="1"/>
  <c r="D202" i="10"/>
  <c r="D180" i="9"/>
  <c r="C180" i="9"/>
  <c r="E180" i="9" s="1"/>
  <c r="G180" i="9" s="1"/>
  <c r="E206" i="8"/>
  <c r="G206" i="8" s="1"/>
  <c r="E202" i="10" l="1"/>
  <c r="G202" i="10" s="1"/>
  <c r="D181" i="9"/>
  <c r="C181" i="9"/>
  <c r="E181" i="9" s="1"/>
  <c r="G181" i="9" s="1"/>
  <c r="C207" i="8"/>
  <c r="D207" i="8"/>
  <c r="D203" i="10" l="1"/>
  <c r="C203" i="10"/>
  <c r="E203" i="10" s="1"/>
  <c r="G203" i="10" s="1"/>
  <c r="D182" i="9"/>
  <c r="C182" i="9"/>
  <c r="E182" i="9" s="1"/>
  <c r="G182" i="9" s="1"/>
  <c r="E207" i="8"/>
  <c r="G207" i="8" s="1"/>
  <c r="D204" i="10" l="1"/>
  <c r="C204" i="10"/>
  <c r="E204" i="10" s="1"/>
  <c r="G204" i="10" s="1"/>
  <c r="C183" i="9"/>
  <c r="D183" i="9"/>
  <c r="C208" i="8"/>
  <c r="D208" i="8"/>
  <c r="D205" i="10" l="1"/>
  <c r="C205" i="10"/>
  <c r="E205" i="10" s="1"/>
  <c r="G205" i="10" s="1"/>
  <c r="E183" i="9"/>
  <c r="G183" i="9" s="1"/>
  <c r="E208" i="8"/>
  <c r="G208" i="8" s="1"/>
  <c r="C206" i="10" l="1"/>
  <c r="D206" i="10"/>
  <c r="C184" i="9"/>
  <c r="D184" i="9"/>
  <c r="C209" i="8"/>
  <c r="D209" i="8"/>
  <c r="E206" i="10" l="1"/>
  <c r="G206" i="10" s="1"/>
  <c r="E184" i="9"/>
  <c r="G184" i="9" s="1"/>
  <c r="E209" i="8"/>
  <c r="G209" i="8" s="1"/>
  <c r="D207" i="10" l="1"/>
  <c r="C207" i="10"/>
  <c r="E207" i="10" s="1"/>
  <c r="G207" i="10" s="1"/>
  <c r="D185" i="9"/>
  <c r="C185" i="9"/>
  <c r="E185" i="9" s="1"/>
  <c r="G185" i="9" s="1"/>
  <c r="C210" i="8"/>
  <c r="D210" i="8"/>
  <c r="D208" i="10" l="1"/>
  <c r="C208" i="10"/>
  <c r="E208" i="10" s="1"/>
  <c r="G208" i="10" s="1"/>
  <c r="D186" i="9"/>
  <c r="C186" i="9"/>
  <c r="E186" i="9" s="1"/>
  <c r="G186" i="9" s="1"/>
  <c r="E210" i="8"/>
  <c r="G210" i="8" s="1"/>
  <c r="D209" i="10" l="1"/>
  <c r="C209" i="10"/>
  <c r="E209" i="10" s="1"/>
  <c r="G209" i="10" s="1"/>
  <c r="D187" i="9"/>
  <c r="C187" i="9"/>
  <c r="E187" i="9" s="1"/>
  <c r="G187" i="9" s="1"/>
  <c r="C211" i="8"/>
  <c r="D211" i="8"/>
  <c r="D210" i="10" l="1"/>
  <c r="C210" i="10"/>
  <c r="E210" i="10" s="1"/>
  <c r="G210" i="10" s="1"/>
  <c r="D188" i="9"/>
  <c r="C188" i="9"/>
  <c r="E188" i="9" s="1"/>
  <c r="G188" i="9" s="1"/>
  <c r="E211" i="8"/>
  <c r="G211" i="8" s="1"/>
  <c r="D211" i="10" l="1"/>
  <c r="C211" i="10"/>
  <c r="E211" i="10" s="1"/>
  <c r="G211" i="10" s="1"/>
  <c r="D189" i="9"/>
  <c r="C189" i="9"/>
  <c r="E189" i="9" s="1"/>
  <c r="G189" i="9" s="1"/>
  <c r="C212" i="8"/>
  <c r="D212" i="8"/>
  <c r="C212" i="10" l="1"/>
  <c r="D212" i="10"/>
  <c r="D190" i="9"/>
  <c r="C190" i="9"/>
  <c r="E190" i="9" s="1"/>
  <c r="G190" i="9" s="1"/>
  <c r="E212" i="8"/>
  <c r="G212" i="8" s="1"/>
  <c r="E212" i="10" l="1"/>
  <c r="G212" i="10" s="1"/>
  <c r="C191" i="9"/>
  <c r="D191" i="9"/>
  <c r="C213" i="8"/>
  <c r="D213" i="8"/>
  <c r="D213" i="10" l="1"/>
  <c r="C213" i="10"/>
  <c r="E213" i="10" s="1"/>
  <c r="G213" i="10" s="1"/>
  <c r="E191" i="9"/>
  <c r="G191" i="9" s="1"/>
  <c r="E213" i="8"/>
  <c r="G213" i="8" s="1"/>
  <c r="D214" i="10" l="1"/>
  <c r="C214" i="10"/>
  <c r="E214" i="10" s="1"/>
  <c r="G214" i="10" s="1"/>
  <c r="C192" i="9"/>
  <c r="D192" i="9"/>
  <c r="C214" i="8"/>
  <c r="D214" i="8"/>
  <c r="D215" i="10" l="1"/>
  <c r="C215" i="10"/>
  <c r="E215" i="10" s="1"/>
  <c r="G215" i="10" s="1"/>
  <c r="E192" i="9"/>
  <c r="G192" i="9" s="1"/>
  <c r="E214" i="8"/>
  <c r="G214" i="8" s="1"/>
  <c r="D216" i="10" l="1"/>
  <c r="C216" i="10"/>
  <c r="E216" i="10" s="1"/>
  <c r="G216" i="10"/>
  <c r="D193" i="9"/>
  <c r="C193" i="9"/>
  <c r="C215" i="8"/>
  <c r="D215" i="8"/>
  <c r="D217" i="10" l="1"/>
  <c r="C217" i="10"/>
  <c r="E217" i="10" s="1"/>
  <c r="G217" i="10"/>
  <c r="E193" i="9"/>
  <c r="G193" i="9" s="1"/>
  <c r="E215" i="8"/>
  <c r="G215" i="8" s="1"/>
  <c r="D218" i="10" l="1"/>
  <c r="C218" i="10"/>
  <c r="E218" i="10" s="1"/>
  <c r="G218" i="10" s="1"/>
  <c r="D194" i="9"/>
  <c r="C194" i="9"/>
  <c r="E194" i="9" s="1"/>
  <c r="G194" i="9" s="1"/>
  <c r="D216" i="8"/>
  <c r="C216" i="8"/>
  <c r="E216" i="8" s="1"/>
  <c r="G216" i="8"/>
  <c r="D219" i="10" l="1"/>
  <c r="C219" i="10"/>
  <c r="E219" i="10" s="1"/>
  <c r="G219" i="10" s="1"/>
  <c r="C195" i="9"/>
  <c r="D195" i="9"/>
  <c r="C217" i="8"/>
  <c r="D217" i="8"/>
  <c r="D220" i="10" l="1"/>
  <c r="C220" i="10"/>
  <c r="E220" i="10" s="1"/>
  <c r="G220" i="10" s="1"/>
  <c r="E195" i="9"/>
  <c r="G195" i="9" s="1"/>
  <c r="E217" i="8"/>
  <c r="G217" i="8" s="1"/>
  <c r="D221" i="10" l="1"/>
  <c r="C221" i="10"/>
  <c r="E221" i="10" s="1"/>
  <c r="G221" i="10" s="1"/>
  <c r="C196" i="9"/>
  <c r="D196" i="9"/>
  <c r="D218" i="8"/>
  <c r="C218" i="8"/>
  <c r="E218" i="8" s="1"/>
  <c r="G218" i="8"/>
  <c r="C222" i="10" l="1"/>
  <c r="D222" i="10"/>
  <c r="E196" i="9"/>
  <c r="G196" i="9" s="1"/>
  <c r="C219" i="8"/>
  <c r="D219" i="8"/>
  <c r="E222" i="10" l="1"/>
  <c r="G222" i="10" s="1"/>
  <c r="D197" i="9"/>
  <c r="C197" i="9"/>
  <c r="E197" i="9" s="1"/>
  <c r="G197" i="9" s="1"/>
  <c r="E219" i="8"/>
  <c r="G219" i="8" s="1"/>
  <c r="D223" i="10" l="1"/>
  <c r="C223" i="10"/>
  <c r="E223" i="10" s="1"/>
  <c r="G223" i="10"/>
  <c r="C198" i="9"/>
  <c r="D198" i="9"/>
  <c r="C220" i="8"/>
  <c r="D220" i="8"/>
  <c r="D224" i="10" l="1"/>
  <c r="C224" i="10"/>
  <c r="E224" i="10" s="1"/>
  <c r="G224" i="10" s="1"/>
  <c r="E198" i="9"/>
  <c r="G198" i="9" s="1"/>
  <c r="E220" i="8"/>
  <c r="G220" i="8" s="1"/>
  <c r="D225" i="10" l="1"/>
  <c r="C225" i="10"/>
  <c r="E225" i="10" s="1"/>
  <c r="G225" i="10" s="1"/>
  <c r="C199" i="9"/>
  <c r="D199" i="9"/>
  <c r="C221" i="8"/>
  <c r="D221" i="8"/>
  <c r="D226" i="10" l="1"/>
  <c r="C226" i="10"/>
  <c r="E226" i="10" s="1"/>
  <c r="G226" i="10"/>
  <c r="E199" i="9"/>
  <c r="G199" i="9" s="1"/>
  <c r="E221" i="8"/>
  <c r="G221" i="8" s="1"/>
  <c r="D227" i="10" l="1"/>
  <c r="C227" i="10"/>
  <c r="E227" i="10" s="1"/>
  <c r="G227" i="10" s="1"/>
  <c r="C200" i="9"/>
  <c r="D200" i="9"/>
  <c r="C222" i="8"/>
  <c r="D222" i="8"/>
  <c r="C228" i="10" l="1"/>
  <c r="D228" i="10"/>
  <c r="E200" i="9"/>
  <c r="G200" i="9" s="1"/>
  <c r="E222" i="8"/>
  <c r="G222" i="8" s="1"/>
  <c r="E228" i="10" l="1"/>
  <c r="G228" i="10" s="1"/>
  <c r="D201" i="9"/>
  <c r="C201" i="9"/>
  <c r="E201" i="9" s="1"/>
  <c r="G201" i="9" s="1"/>
  <c r="C223" i="8"/>
  <c r="D223" i="8"/>
  <c r="D229" i="10" l="1"/>
  <c r="C229" i="10"/>
  <c r="E229" i="10" s="1"/>
  <c r="G229" i="10" s="1"/>
  <c r="D202" i="9"/>
  <c r="C202" i="9"/>
  <c r="E202" i="9" s="1"/>
  <c r="G202" i="9" s="1"/>
  <c r="E223" i="8"/>
  <c r="G223" i="8" s="1"/>
  <c r="D230" i="10" l="1"/>
  <c r="C230" i="10"/>
  <c r="E230" i="10" s="1"/>
  <c r="G230" i="10"/>
  <c r="C203" i="9"/>
  <c r="D203" i="9"/>
  <c r="D224" i="8"/>
  <c r="C224" i="8"/>
  <c r="E224" i="8" s="1"/>
  <c r="G224" i="8" s="1"/>
  <c r="D231" i="10" l="1"/>
  <c r="C231" i="10"/>
  <c r="E231" i="10" s="1"/>
  <c r="G231" i="10"/>
  <c r="E203" i="9"/>
  <c r="G203" i="9" s="1"/>
  <c r="C204" i="9"/>
  <c r="D204" i="9"/>
  <c r="C225" i="8"/>
  <c r="D225" i="8"/>
  <c r="D232" i="10" l="1"/>
  <c r="C232" i="10"/>
  <c r="E232" i="10" s="1"/>
  <c r="G232" i="10" s="1"/>
  <c r="E204" i="9"/>
  <c r="G204" i="9" s="1"/>
  <c r="E225" i="8"/>
  <c r="G225" i="8" s="1"/>
  <c r="D233" i="10" l="1"/>
  <c r="C233" i="10"/>
  <c r="E233" i="10" s="1"/>
  <c r="G233" i="10"/>
  <c r="D205" i="9"/>
  <c r="C205" i="9"/>
  <c r="E205" i="9" s="1"/>
  <c r="G205" i="9" s="1"/>
  <c r="C226" i="8"/>
  <c r="D226" i="8"/>
  <c r="D234" i="10" l="1"/>
  <c r="C234" i="10"/>
  <c r="E234" i="10" s="1"/>
  <c r="G234" i="10" s="1"/>
  <c r="D206" i="9"/>
  <c r="C206" i="9"/>
  <c r="E206" i="9" s="1"/>
  <c r="G206" i="9" s="1"/>
  <c r="E226" i="8"/>
  <c r="G226" i="8" s="1"/>
  <c r="D235" i="10" l="1"/>
  <c r="C235" i="10"/>
  <c r="E235" i="10" s="1"/>
  <c r="G235" i="10"/>
  <c r="C207" i="9"/>
  <c r="D207" i="9"/>
  <c r="C227" i="8"/>
  <c r="D227" i="8"/>
  <c r="C236" i="10" l="1"/>
  <c r="D236" i="10"/>
  <c r="E207" i="9"/>
  <c r="G207" i="9" s="1"/>
  <c r="E227" i="8"/>
  <c r="G227" i="8" s="1"/>
  <c r="E236" i="10" l="1"/>
  <c r="G236" i="10" s="1"/>
  <c r="C208" i="9"/>
  <c r="D208" i="9"/>
  <c r="C228" i="8"/>
  <c r="D228" i="8"/>
  <c r="D237" i="10" l="1"/>
  <c r="C237" i="10"/>
  <c r="E237" i="10" s="1"/>
  <c r="G237" i="10"/>
  <c r="E208" i="9"/>
  <c r="G208" i="9" s="1"/>
  <c r="E228" i="8"/>
  <c r="G228" i="8" s="1"/>
  <c r="C238" i="10" l="1"/>
  <c r="D238" i="10"/>
  <c r="D209" i="9"/>
  <c r="C209" i="9"/>
  <c r="E209" i="9" s="1"/>
  <c r="G209" i="9" s="1"/>
  <c r="C229" i="8"/>
  <c r="D229" i="8"/>
  <c r="E238" i="10" l="1"/>
  <c r="G238" i="10" s="1"/>
  <c r="D210" i="9"/>
  <c r="C210" i="9"/>
  <c r="E210" i="9" s="1"/>
  <c r="G210" i="9" s="1"/>
  <c r="E229" i="8"/>
  <c r="G229" i="8" s="1"/>
  <c r="D239" i="10" l="1"/>
  <c r="C239" i="10"/>
  <c r="E239" i="10" s="1"/>
  <c r="G239" i="10" s="1"/>
  <c r="C211" i="9"/>
  <c r="D211" i="9"/>
  <c r="C230" i="8"/>
  <c r="D230" i="8"/>
  <c r="D240" i="10" l="1"/>
  <c r="C240" i="10"/>
  <c r="E240" i="10" s="1"/>
  <c r="G240" i="10"/>
  <c r="E211" i="9"/>
  <c r="G211" i="9" s="1"/>
  <c r="E230" i="8"/>
  <c r="G230" i="8" s="1"/>
  <c r="D241" i="10" l="1"/>
  <c r="C241" i="10"/>
  <c r="E241" i="10" s="1"/>
  <c r="G241" i="10"/>
  <c r="C212" i="9"/>
  <c r="D212" i="9"/>
  <c r="C231" i="8"/>
  <c r="D231" i="8"/>
  <c r="D242" i="10" l="1"/>
  <c r="C242" i="10"/>
  <c r="E242" i="10" s="1"/>
  <c r="G242" i="10" s="1"/>
  <c r="E212" i="9"/>
  <c r="G212" i="9" s="1"/>
  <c r="E231" i="8"/>
  <c r="G231" i="8" s="1"/>
  <c r="D243" i="10" l="1"/>
  <c r="C243" i="10"/>
  <c r="E243" i="10" s="1"/>
  <c r="G243" i="10"/>
  <c r="D213" i="9"/>
  <c r="C213" i="9"/>
  <c r="E213" i="9" s="1"/>
  <c r="G213" i="9" s="1"/>
  <c r="C232" i="8"/>
  <c r="D232" i="8"/>
  <c r="C244" i="10" l="1"/>
  <c r="D244" i="10"/>
  <c r="C214" i="9"/>
  <c r="D214" i="9"/>
  <c r="E232" i="8"/>
  <c r="G232" i="8" s="1"/>
  <c r="E244" i="10" l="1"/>
  <c r="G244" i="10" s="1"/>
  <c r="E214" i="9"/>
  <c r="G214" i="9" s="1"/>
  <c r="D233" i="8"/>
  <c r="C233" i="8"/>
  <c r="E233" i="8" s="1"/>
  <c r="G233" i="8"/>
  <c r="D245" i="10" l="1"/>
  <c r="C245" i="10"/>
  <c r="E245" i="10" s="1"/>
  <c r="G245" i="10" s="1"/>
  <c r="C215" i="9"/>
  <c r="D215" i="9"/>
  <c r="C234" i="8"/>
  <c r="D234" i="8"/>
  <c r="C246" i="10" l="1"/>
  <c r="D246" i="10"/>
  <c r="E215" i="9"/>
  <c r="G215" i="9" s="1"/>
  <c r="E234" i="8"/>
  <c r="G234" i="8" s="1"/>
  <c r="E246" i="10" l="1"/>
  <c r="G246" i="10" s="1"/>
  <c r="C216" i="9"/>
  <c r="D216" i="9"/>
  <c r="C235" i="8"/>
  <c r="D235" i="8"/>
  <c r="D247" i="10" l="1"/>
  <c r="C247" i="10"/>
  <c r="E247" i="10" s="1"/>
  <c r="G247" i="10" s="1"/>
  <c r="E216" i="9"/>
  <c r="G216" i="9" s="1"/>
  <c r="E235" i="8"/>
  <c r="G235" i="8" s="1"/>
  <c r="C248" i="10" l="1"/>
  <c r="D248" i="10"/>
  <c r="D217" i="9"/>
  <c r="C217" i="9"/>
  <c r="E217" i="9" s="1"/>
  <c r="G217" i="9" s="1"/>
  <c r="C236" i="8"/>
  <c r="D236" i="8"/>
  <c r="E248" i="10" l="1"/>
  <c r="G248" i="10" s="1"/>
  <c r="D218" i="9"/>
  <c r="C218" i="9"/>
  <c r="E218" i="9" s="1"/>
  <c r="G218" i="9" s="1"/>
  <c r="E236" i="8"/>
  <c r="G236" i="8" s="1"/>
  <c r="D249" i="10" l="1"/>
  <c r="C249" i="10"/>
  <c r="E249" i="10" s="1"/>
  <c r="G249" i="10" s="1"/>
  <c r="C219" i="9"/>
  <c r="D219" i="9"/>
  <c r="C237" i="8"/>
  <c r="D237" i="8"/>
  <c r="D250" i="10" l="1"/>
  <c r="C250" i="10"/>
  <c r="E250" i="10" s="1"/>
  <c r="G250" i="10" s="1"/>
  <c r="E219" i="9"/>
  <c r="G219" i="9" s="1"/>
  <c r="E237" i="8"/>
  <c r="G237" i="8" s="1"/>
  <c r="D251" i="10" l="1"/>
  <c r="C251" i="10"/>
  <c r="E251" i="10" s="1"/>
  <c r="G251" i="10" s="1"/>
  <c r="C220" i="9"/>
  <c r="D220" i="9"/>
  <c r="C238" i="8"/>
  <c r="D238" i="8"/>
  <c r="D252" i="10" l="1"/>
  <c r="C252" i="10"/>
  <c r="E252" i="10" s="1"/>
  <c r="G252" i="10" s="1"/>
  <c r="E220" i="9"/>
  <c r="G220" i="9" s="1"/>
  <c r="E238" i="8"/>
  <c r="G238" i="8" s="1"/>
  <c r="D253" i="10" l="1"/>
  <c r="C253" i="10"/>
  <c r="E253" i="10" s="1"/>
  <c r="G253" i="10"/>
  <c r="D221" i="9"/>
  <c r="C221" i="9"/>
  <c r="E221" i="9" s="1"/>
  <c r="G221" i="9" s="1"/>
  <c r="C239" i="8"/>
  <c r="D239" i="8"/>
  <c r="C254" i="10" l="1"/>
  <c r="D254" i="10"/>
  <c r="D222" i="9"/>
  <c r="C222" i="9"/>
  <c r="E222" i="9" s="1"/>
  <c r="G222" i="9" s="1"/>
  <c r="E239" i="8"/>
  <c r="G239" i="8" s="1"/>
  <c r="E254" i="10" l="1"/>
  <c r="G254" i="10" s="1"/>
  <c r="C223" i="9"/>
  <c r="D223" i="9"/>
  <c r="C240" i="8"/>
  <c r="D240" i="8"/>
  <c r="D255" i="10" l="1"/>
  <c r="C255" i="10"/>
  <c r="E255" i="10" s="1"/>
  <c r="G255" i="10" s="1"/>
  <c r="E223" i="9"/>
  <c r="G223" i="9" s="1"/>
  <c r="E240" i="8"/>
  <c r="G240" i="8" s="1"/>
  <c r="C256" i="10" l="1"/>
  <c r="D256" i="10"/>
  <c r="C224" i="9"/>
  <c r="D224" i="9"/>
  <c r="C241" i="8"/>
  <c r="D241" i="8"/>
  <c r="E256" i="10" l="1"/>
  <c r="G256" i="10" s="1"/>
  <c r="E224" i="9"/>
  <c r="G224" i="9" s="1"/>
  <c r="E241" i="8"/>
  <c r="G241" i="8" s="1"/>
  <c r="D257" i="10" l="1"/>
  <c r="C257" i="10"/>
  <c r="E257" i="10" s="1"/>
  <c r="G257" i="10" s="1"/>
  <c r="D225" i="9"/>
  <c r="C225" i="9"/>
  <c r="E225" i="9" s="1"/>
  <c r="G225" i="9" s="1"/>
  <c r="C242" i="8"/>
  <c r="D242" i="8"/>
  <c r="C258" i="10" l="1"/>
  <c r="D258" i="10"/>
  <c r="C226" i="9"/>
  <c r="D226" i="9"/>
  <c r="E242" i="8"/>
  <c r="G242" i="8" s="1"/>
  <c r="E258" i="10" l="1"/>
  <c r="G258" i="10" s="1"/>
  <c r="E226" i="9"/>
  <c r="G226" i="9" s="1"/>
  <c r="C243" i="8"/>
  <c r="D243" i="8"/>
  <c r="D259" i="10" l="1"/>
  <c r="C259" i="10"/>
  <c r="E259" i="10" s="1"/>
  <c r="G259" i="10" s="1"/>
  <c r="C227" i="9"/>
  <c r="D227" i="9"/>
  <c r="E243" i="8"/>
  <c r="G243" i="8" s="1"/>
  <c r="D260" i="10" l="1"/>
  <c r="C260" i="10"/>
  <c r="E260" i="10" s="1"/>
  <c r="G260" i="10" s="1"/>
  <c r="E227" i="9"/>
  <c r="G227" i="9" s="1"/>
  <c r="C244" i="8"/>
  <c r="D244" i="8"/>
  <c r="D261" i="10" l="1"/>
  <c r="C261" i="10"/>
  <c r="C228" i="9"/>
  <c r="D228" i="9"/>
  <c r="E244" i="8"/>
  <c r="G244" i="8" s="1"/>
  <c r="E261" i="10" l="1"/>
  <c r="G261" i="10" s="1"/>
  <c r="D262" i="10"/>
  <c r="C262" i="10"/>
  <c r="E262" i="10" s="1"/>
  <c r="G262" i="10" s="1"/>
  <c r="E228" i="9"/>
  <c r="G228" i="9" s="1"/>
  <c r="C245" i="8"/>
  <c r="D245" i="8"/>
  <c r="D263" i="10" l="1"/>
  <c r="C263" i="10"/>
  <c r="E263" i="10" s="1"/>
  <c r="G263" i="10" s="1"/>
  <c r="D229" i="9"/>
  <c r="C229" i="9"/>
  <c r="E229" i="9" s="1"/>
  <c r="G229" i="9" s="1"/>
  <c r="E245" i="8"/>
  <c r="G245" i="8" s="1"/>
  <c r="D264" i="10" l="1"/>
  <c r="C264" i="10"/>
  <c r="E264" i="10" s="1"/>
  <c r="G264" i="10" s="1"/>
  <c r="C230" i="9"/>
  <c r="D230" i="9"/>
  <c r="D246" i="8"/>
  <c r="C246" i="8"/>
  <c r="E246" i="8" s="1"/>
  <c r="G246" i="8"/>
  <c r="D265" i="10" l="1"/>
  <c r="C265" i="10"/>
  <c r="E265" i="10" s="1"/>
  <c r="G265" i="10" s="1"/>
  <c r="E230" i="9"/>
  <c r="G230" i="9" s="1"/>
  <c r="C247" i="8"/>
  <c r="D247" i="8"/>
  <c r="C266" i="10" l="1"/>
  <c r="D266" i="10"/>
  <c r="C231" i="9"/>
  <c r="D231" i="9"/>
  <c r="E247" i="8"/>
  <c r="G247" i="8" s="1"/>
  <c r="E266" i="10" l="1"/>
  <c r="G266" i="10" s="1"/>
  <c r="E231" i="9"/>
  <c r="G231" i="9" s="1"/>
  <c r="C248" i="8"/>
  <c r="D248" i="8"/>
  <c r="D267" i="10" l="1"/>
  <c r="C267" i="10"/>
  <c r="E267" i="10" s="1"/>
  <c r="G267" i="10"/>
  <c r="C232" i="9"/>
  <c r="D232" i="9"/>
  <c r="E248" i="8"/>
  <c r="G248" i="8" s="1"/>
  <c r="D268" i="10" l="1"/>
  <c r="C268" i="10"/>
  <c r="E268" i="10" s="1"/>
  <c r="G268" i="10" s="1"/>
  <c r="E232" i="9"/>
  <c r="G232" i="9" s="1"/>
  <c r="C249" i="8"/>
  <c r="D249" i="8"/>
  <c r="D269" i="10" l="1"/>
  <c r="C269" i="10"/>
  <c r="E269" i="10" s="1"/>
  <c r="G269" i="10" s="1"/>
  <c r="D233" i="9"/>
  <c r="C233" i="9"/>
  <c r="E233" i="9" s="1"/>
  <c r="G233" i="9" s="1"/>
  <c r="E249" i="8"/>
  <c r="G249" i="8" s="1"/>
  <c r="D270" i="10" l="1"/>
  <c r="C270" i="10"/>
  <c r="E270" i="10" s="1"/>
  <c r="G270" i="10"/>
  <c r="D234" i="9"/>
  <c r="C234" i="9"/>
  <c r="E234" i="9" s="1"/>
  <c r="G234" i="9" s="1"/>
  <c r="D250" i="8"/>
  <c r="C250" i="8"/>
  <c r="E250" i="8" s="1"/>
  <c r="G250" i="8"/>
  <c r="D271" i="10" l="1"/>
  <c r="C271" i="10"/>
  <c r="E271" i="10" s="1"/>
  <c r="G271" i="10" s="1"/>
  <c r="C235" i="9"/>
  <c r="D235" i="9"/>
  <c r="C251" i="8"/>
  <c r="D251" i="8"/>
  <c r="D272" i="10" l="1"/>
  <c r="C272" i="10"/>
  <c r="E272" i="10" s="1"/>
  <c r="G272" i="10"/>
  <c r="E235" i="9"/>
  <c r="G235" i="9" s="1"/>
  <c r="E251" i="8"/>
  <c r="G251" i="8" s="1"/>
  <c r="D273" i="10" l="1"/>
  <c r="C273" i="10"/>
  <c r="E273" i="10" s="1"/>
  <c r="G273" i="10" s="1"/>
  <c r="C236" i="9"/>
  <c r="D236" i="9"/>
  <c r="C252" i="8"/>
  <c r="D252" i="8"/>
  <c r="D274" i="10" l="1"/>
  <c r="C274" i="10"/>
  <c r="E236" i="9"/>
  <c r="G236" i="9" s="1"/>
  <c r="E252" i="8"/>
  <c r="G252" i="8" s="1"/>
  <c r="E274" i="10" l="1"/>
  <c r="G274" i="10" s="1"/>
  <c r="D275" i="10"/>
  <c r="C275" i="10"/>
  <c r="E275" i="10" s="1"/>
  <c r="G275" i="10"/>
  <c r="D237" i="9"/>
  <c r="C237" i="9"/>
  <c r="E237" i="9" s="1"/>
  <c r="G237" i="9" s="1"/>
  <c r="C253" i="8"/>
  <c r="D253" i="8"/>
  <c r="D276" i="10" l="1"/>
  <c r="C276" i="10"/>
  <c r="E276" i="10" s="1"/>
  <c r="G276" i="10" s="1"/>
  <c r="D238" i="9"/>
  <c r="C238" i="9"/>
  <c r="E238" i="9" s="1"/>
  <c r="G238" i="9" s="1"/>
  <c r="E253" i="8"/>
  <c r="G253" i="8" s="1"/>
  <c r="D277" i="10" l="1"/>
  <c r="C277" i="10"/>
  <c r="E277" i="10" s="1"/>
  <c r="G277" i="10"/>
  <c r="C239" i="9"/>
  <c r="D239" i="9"/>
  <c r="C254" i="8"/>
  <c r="D254" i="8"/>
  <c r="D278" i="10" l="1"/>
  <c r="C278" i="10"/>
  <c r="E278" i="10" s="1"/>
  <c r="G278" i="10" s="1"/>
  <c r="E239" i="9"/>
  <c r="G239" i="9" s="1"/>
  <c r="E254" i="8"/>
  <c r="G254" i="8" s="1"/>
  <c r="D279" i="10" l="1"/>
  <c r="C279" i="10"/>
  <c r="E279" i="10" s="1"/>
  <c r="G279" i="10" s="1"/>
  <c r="C240" i="9"/>
  <c r="D240" i="9"/>
  <c r="C255" i="8"/>
  <c r="D255" i="8"/>
  <c r="D280" i="10" l="1"/>
  <c r="C280" i="10"/>
  <c r="E280" i="10" s="1"/>
  <c r="G280" i="10"/>
  <c r="E240" i="9"/>
  <c r="G240" i="9" s="1"/>
  <c r="E255" i="8"/>
  <c r="G255" i="8" s="1"/>
  <c r="D281" i="10" l="1"/>
  <c r="C281" i="10"/>
  <c r="E281" i="10" s="1"/>
  <c r="G281" i="10" s="1"/>
  <c r="D241" i="9"/>
  <c r="C241" i="9"/>
  <c r="E241" i="9" s="1"/>
  <c r="G241" i="9" s="1"/>
  <c r="D256" i="8"/>
  <c r="C256" i="8"/>
  <c r="E256" i="8" s="1"/>
  <c r="G256" i="8" s="1"/>
  <c r="D282" i="10" l="1"/>
  <c r="C282" i="10"/>
  <c r="E282" i="10" s="1"/>
  <c r="G282" i="10"/>
  <c r="D242" i="9"/>
  <c r="C242" i="9"/>
  <c r="E242" i="9" s="1"/>
  <c r="G242" i="9" s="1"/>
  <c r="C257" i="8"/>
  <c r="D257" i="8"/>
  <c r="D283" i="10" l="1"/>
  <c r="C283" i="10"/>
  <c r="E283" i="10" s="1"/>
  <c r="G283" i="10" s="1"/>
  <c r="C243" i="9"/>
  <c r="D243" i="9"/>
  <c r="E257" i="8"/>
  <c r="G257" i="8" s="1"/>
  <c r="D284" i="10" l="1"/>
  <c r="C284" i="10"/>
  <c r="E284" i="10" s="1"/>
  <c r="G284" i="10" s="1"/>
  <c r="E243" i="9"/>
  <c r="G243" i="9" s="1"/>
  <c r="C258" i="8"/>
  <c r="D258" i="8"/>
  <c r="D285" i="10" l="1"/>
  <c r="C285" i="10"/>
  <c r="E285" i="10" s="1"/>
  <c r="G285" i="10"/>
  <c r="C244" i="9"/>
  <c r="D244" i="9"/>
  <c r="E258" i="8"/>
  <c r="G258" i="8" s="1"/>
  <c r="D286" i="10" l="1"/>
  <c r="C286" i="10"/>
  <c r="E286" i="10" s="1"/>
  <c r="G286" i="10" s="1"/>
  <c r="E244" i="9"/>
  <c r="G244" i="9" s="1"/>
  <c r="C259" i="8"/>
  <c r="D259" i="8"/>
  <c r="D287" i="10" l="1"/>
  <c r="C287" i="10"/>
  <c r="E287" i="10" s="1"/>
  <c r="G287" i="10"/>
  <c r="D245" i="9"/>
  <c r="C245" i="9"/>
  <c r="E245" i="9" s="1"/>
  <c r="G245" i="9" s="1"/>
  <c r="E259" i="8"/>
  <c r="G259" i="8" s="1"/>
  <c r="D288" i="10" l="1"/>
  <c r="C288" i="10"/>
  <c r="E288" i="10" s="1"/>
  <c r="G288" i="10" s="1"/>
  <c r="D246" i="9"/>
  <c r="C246" i="9"/>
  <c r="E246" i="9" s="1"/>
  <c r="G246" i="9" s="1"/>
  <c r="C260" i="8"/>
  <c r="D260" i="8"/>
  <c r="D289" i="10" l="1"/>
  <c r="C289" i="10"/>
  <c r="E289" i="10" s="1"/>
  <c r="G289" i="10" s="1"/>
  <c r="C247" i="9"/>
  <c r="D247" i="9"/>
  <c r="E260" i="8"/>
  <c r="G260" i="8" s="1"/>
  <c r="D290" i="10" l="1"/>
  <c r="C290" i="10"/>
  <c r="E290" i="10" s="1"/>
  <c r="G290" i="10"/>
  <c r="E247" i="9"/>
  <c r="G247" i="9" s="1"/>
  <c r="D261" i="8"/>
  <c r="C261" i="8"/>
  <c r="E261" i="8" s="1"/>
  <c r="G261" i="8" s="1"/>
  <c r="D291" i="10" l="1"/>
  <c r="C291" i="10"/>
  <c r="E291" i="10" s="1"/>
  <c r="G291" i="10" s="1"/>
  <c r="C248" i="9"/>
  <c r="D248" i="9"/>
  <c r="D262" i="8"/>
  <c r="C262" i="8"/>
  <c r="E262" i="8" s="1"/>
  <c r="G262" i="8" s="1"/>
  <c r="C292" i="10" l="1"/>
  <c r="D292" i="10"/>
  <c r="E248" i="9"/>
  <c r="G248" i="9" s="1"/>
  <c r="C263" i="8"/>
  <c r="D263" i="8"/>
  <c r="E292" i="10" l="1"/>
  <c r="G292" i="10" s="1"/>
  <c r="D249" i="9"/>
  <c r="C249" i="9"/>
  <c r="E249" i="9" s="1"/>
  <c r="G249" i="9" s="1"/>
  <c r="E263" i="8"/>
  <c r="G263" i="8" s="1"/>
  <c r="D293" i="10" l="1"/>
  <c r="C293" i="10"/>
  <c r="E293" i="10" s="1"/>
  <c r="G293" i="10" s="1"/>
  <c r="D250" i="9"/>
  <c r="C250" i="9"/>
  <c r="E250" i="9" s="1"/>
  <c r="G250" i="9" s="1"/>
  <c r="D264" i="8"/>
  <c r="C264" i="8"/>
  <c r="E264" i="8" s="1"/>
  <c r="G264" i="8" s="1"/>
  <c r="D294" i="10" l="1"/>
  <c r="C294" i="10"/>
  <c r="E294" i="10" s="1"/>
  <c r="G294" i="10" s="1"/>
  <c r="C251" i="9"/>
  <c r="D251" i="9"/>
  <c r="D295" i="10" l="1"/>
  <c r="C295" i="10"/>
  <c r="E295" i="10" s="1"/>
  <c r="G295" i="10"/>
  <c r="E251" i="9"/>
  <c r="G251" i="9" s="1"/>
  <c r="D296" i="10" l="1"/>
  <c r="C296" i="10"/>
  <c r="E296" i="10" s="1"/>
  <c r="G296" i="10" s="1"/>
  <c r="C252" i="9"/>
  <c r="D252" i="9"/>
  <c r="D297" i="10" l="1"/>
  <c r="C297" i="10"/>
  <c r="E297" i="10" s="1"/>
  <c r="G297" i="10"/>
  <c r="E252" i="9"/>
  <c r="G252" i="9" s="1"/>
  <c r="D253" i="9"/>
  <c r="C253" i="9"/>
  <c r="E253" i="9" s="1"/>
  <c r="G253" i="9" s="1"/>
  <c r="D298" i="10" l="1"/>
  <c r="C298" i="10"/>
  <c r="E298" i="10" s="1"/>
  <c r="G298" i="10" s="1"/>
  <c r="C254" i="9"/>
  <c r="D254" i="9"/>
  <c r="D299" i="10" l="1"/>
  <c r="C299" i="10"/>
  <c r="E299" i="10" s="1"/>
  <c r="G299" i="10" s="1"/>
  <c r="E254" i="9"/>
  <c r="G254" i="9" s="1"/>
  <c r="C300" i="10" l="1"/>
  <c r="D300" i="10"/>
  <c r="C255" i="9"/>
  <c r="D255" i="9"/>
  <c r="E300" i="10" l="1"/>
  <c r="G300" i="10" s="1"/>
  <c r="E255" i="9"/>
  <c r="G255" i="9" s="1"/>
  <c r="D301" i="10" l="1"/>
  <c r="C301" i="10"/>
  <c r="E301" i="10" s="1"/>
  <c r="G301" i="10" s="1"/>
  <c r="C256" i="9"/>
  <c r="D256" i="9"/>
  <c r="C302" i="10" l="1"/>
  <c r="D302" i="10"/>
  <c r="E256" i="9"/>
  <c r="G256" i="9" s="1"/>
  <c r="E302" i="10" l="1"/>
  <c r="G302" i="10" s="1"/>
  <c r="D257" i="9"/>
  <c r="C257" i="9"/>
  <c r="E257" i="9" s="1"/>
  <c r="G257" i="9" s="1"/>
  <c r="D303" i="10" l="1"/>
  <c r="C303" i="10"/>
  <c r="E303" i="10" s="1"/>
  <c r="G303" i="10" s="1"/>
  <c r="D258" i="9"/>
  <c r="C258" i="9"/>
  <c r="E258" i="9" s="1"/>
  <c r="G258" i="9" s="1"/>
  <c r="D304" i="10" l="1"/>
  <c r="C304" i="10"/>
  <c r="E304" i="10" s="1"/>
  <c r="G304" i="10" s="1"/>
  <c r="C259" i="9"/>
  <c r="D259" i="9"/>
  <c r="D305" i="10" l="1"/>
  <c r="C305" i="10"/>
  <c r="E305" i="10" s="1"/>
  <c r="G305" i="10"/>
  <c r="E259" i="9"/>
  <c r="G259" i="9" s="1"/>
  <c r="D306" i="10" l="1"/>
  <c r="C306" i="10"/>
  <c r="E306" i="10" s="1"/>
  <c r="G306" i="10" s="1"/>
  <c r="C260" i="9"/>
  <c r="D260" i="9"/>
  <c r="D307" i="10" l="1"/>
  <c r="C307" i="10"/>
  <c r="E307" i="10" s="1"/>
  <c r="G307" i="10" s="1"/>
  <c r="E260" i="9"/>
  <c r="G260" i="9" s="1"/>
  <c r="C308" i="10" l="1"/>
  <c r="D308" i="10"/>
  <c r="D261" i="9"/>
  <c r="C261" i="9"/>
  <c r="E261" i="9" s="1"/>
  <c r="G261" i="9" s="1"/>
  <c r="E308" i="10" l="1"/>
  <c r="G308" i="10" s="1"/>
  <c r="D262" i="9"/>
  <c r="C262" i="9"/>
  <c r="E262" i="9" s="1"/>
  <c r="G262" i="9" s="1"/>
  <c r="D309" i="10" l="1"/>
  <c r="C309" i="10"/>
  <c r="E309" i="10" s="1"/>
  <c r="G309" i="10" s="1"/>
  <c r="C263" i="9"/>
  <c r="D263" i="9"/>
  <c r="C310" i="10" l="1"/>
  <c r="D310" i="10"/>
  <c r="E263" i="9"/>
  <c r="G263" i="9" s="1"/>
  <c r="E310" i="10" l="1"/>
  <c r="G310" i="10" s="1"/>
  <c r="C264" i="9"/>
  <c r="D264" i="9"/>
  <c r="D311" i="10" l="1"/>
  <c r="C311" i="10"/>
  <c r="E311" i="10" s="1"/>
  <c r="G311" i="10" s="1"/>
  <c r="E264" i="9"/>
  <c r="G264" i="9" s="1"/>
  <c r="C312" i="10" l="1"/>
  <c r="D312" i="10"/>
  <c r="D265" i="9"/>
  <c r="C265" i="9"/>
  <c r="E265" i="9" s="1"/>
  <c r="G265" i="9" s="1"/>
  <c r="E312" i="10" l="1"/>
  <c r="G312" i="10" s="1"/>
  <c r="D266" i="9"/>
  <c r="C266" i="9"/>
  <c r="E266" i="9" s="1"/>
  <c r="G266" i="9" s="1"/>
  <c r="D313" i="10" l="1"/>
  <c r="C313" i="10"/>
  <c r="E313" i="10" s="1"/>
  <c r="G313" i="10" s="1"/>
  <c r="C267" i="9"/>
  <c r="D267" i="9"/>
  <c r="D314" i="10" l="1"/>
  <c r="C314" i="10"/>
  <c r="E314" i="10" s="1"/>
  <c r="G314" i="10" s="1"/>
  <c r="E267" i="9"/>
  <c r="G267" i="9" s="1"/>
  <c r="D315" i="10" l="1"/>
  <c r="C315" i="10"/>
  <c r="E315" i="10" s="1"/>
  <c r="G315" i="10"/>
  <c r="C268" i="9"/>
  <c r="D268" i="9"/>
  <c r="D316" i="10" l="1"/>
  <c r="C316" i="10"/>
  <c r="E316" i="10" s="1"/>
  <c r="G316" i="10" s="1"/>
  <c r="E268" i="9"/>
  <c r="G268" i="9" s="1"/>
  <c r="D317" i="10" l="1"/>
  <c r="C317" i="10"/>
  <c r="E317" i="10" s="1"/>
  <c r="G317" i="10" s="1"/>
  <c r="D269" i="9"/>
  <c r="C269" i="9"/>
  <c r="E269" i="9" s="1"/>
  <c r="G269" i="9" s="1"/>
  <c r="C318" i="10" l="1"/>
  <c r="D318" i="10"/>
  <c r="C270" i="9"/>
  <c r="D270" i="9"/>
  <c r="E318" i="10" l="1"/>
  <c r="G318" i="10" s="1"/>
  <c r="E270" i="9"/>
  <c r="G270" i="9" s="1"/>
  <c r="D319" i="10" l="1"/>
  <c r="C319" i="10"/>
  <c r="E319" i="10" s="1"/>
  <c r="G319" i="10" s="1"/>
  <c r="C271" i="9"/>
  <c r="D271" i="9"/>
  <c r="C320" i="10" l="1"/>
  <c r="D320" i="10"/>
  <c r="E271" i="9"/>
  <c r="G271" i="9" s="1"/>
  <c r="E320" i="10" l="1"/>
  <c r="G320" i="10" s="1"/>
  <c r="C272" i="9"/>
  <c r="D272" i="9"/>
  <c r="D321" i="10" l="1"/>
  <c r="C321" i="10"/>
  <c r="E321" i="10" s="1"/>
  <c r="G321" i="10" s="1"/>
  <c r="E272" i="9"/>
  <c r="G272" i="9" s="1"/>
  <c r="C322" i="10" l="1"/>
  <c r="D322" i="10"/>
  <c r="D273" i="9"/>
  <c r="C273" i="9"/>
  <c r="E273" i="9" s="1"/>
  <c r="G273" i="9" s="1"/>
  <c r="E322" i="10" l="1"/>
  <c r="G322" i="10" s="1"/>
  <c r="C274" i="9"/>
  <c r="D274" i="9"/>
  <c r="D323" i="10" l="1"/>
  <c r="C323" i="10"/>
  <c r="E323" i="10" s="1"/>
  <c r="G323" i="10" s="1"/>
  <c r="E274" i="9"/>
  <c r="G274" i="9" s="1"/>
  <c r="D324" i="10" l="1"/>
  <c r="C324" i="10"/>
  <c r="E324" i="10" s="1"/>
  <c r="G324" i="10" s="1"/>
  <c r="C275" i="9"/>
  <c r="D275" i="9"/>
  <c r="D325" i="10" l="1"/>
  <c r="C325" i="10"/>
  <c r="E325" i="10" s="1"/>
  <c r="G325" i="10"/>
  <c r="E275" i="9"/>
  <c r="G275" i="9" s="1"/>
  <c r="D326" i="10" l="1"/>
  <c r="C326" i="10"/>
  <c r="E326" i="10" s="1"/>
  <c r="G326" i="10" s="1"/>
  <c r="C276" i="9"/>
  <c r="D276" i="9"/>
  <c r="D327" i="10" l="1"/>
  <c r="C327" i="10"/>
  <c r="E327" i="10" s="1"/>
  <c r="G327" i="10" s="1"/>
  <c r="E276" i="9"/>
  <c r="G276" i="9" s="1"/>
  <c r="D328" i="10" l="1"/>
  <c r="C328" i="10"/>
  <c r="E328" i="10" s="1"/>
  <c r="G328" i="10" s="1"/>
  <c r="D277" i="9"/>
  <c r="C277" i="9"/>
  <c r="E277" i="9" s="1"/>
  <c r="G277" i="9" s="1"/>
  <c r="D329" i="10" l="1"/>
  <c r="C329" i="10"/>
  <c r="E329" i="10" s="1"/>
  <c r="G329" i="10" s="1"/>
  <c r="D278" i="9"/>
  <c r="C278" i="9"/>
  <c r="E278" i="9" s="1"/>
  <c r="G278" i="9" s="1"/>
  <c r="D330" i="10" l="1"/>
  <c r="C330" i="10"/>
  <c r="E330" i="10" s="1"/>
  <c r="G330" i="10" s="1"/>
  <c r="C279" i="9"/>
  <c r="D279" i="9"/>
  <c r="D331" i="10" l="1"/>
  <c r="C331" i="10"/>
  <c r="E331" i="10" s="1"/>
  <c r="G331" i="10"/>
  <c r="E279" i="9"/>
  <c r="G279" i="9" s="1"/>
  <c r="D332" i="10" l="1"/>
  <c r="C332" i="10"/>
  <c r="E332" i="10" s="1"/>
  <c r="G332" i="10" s="1"/>
  <c r="C280" i="9"/>
  <c r="D280" i="9"/>
  <c r="D333" i="10" l="1"/>
  <c r="C333" i="10"/>
  <c r="E333" i="10" s="1"/>
  <c r="G333" i="10" s="1"/>
  <c r="E280" i="9"/>
  <c r="G280" i="9" s="1"/>
  <c r="D334" i="10" l="1"/>
  <c r="C334" i="10"/>
  <c r="E334" i="10" s="1"/>
  <c r="G334" i="10"/>
  <c r="D281" i="9"/>
  <c r="C281" i="9"/>
  <c r="E281" i="9" s="1"/>
  <c r="G281" i="9" s="1"/>
  <c r="D335" i="10" l="1"/>
  <c r="C335" i="10"/>
  <c r="E335" i="10" s="1"/>
  <c r="G335" i="10" s="1"/>
  <c r="C282" i="9"/>
  <c r="D282" i="9"/>
  <c r="D336" i="10" l="1"/>
  <c r="C336" i="10"/>
  <c r="E336" i="10" s="1"/>
  <c r="G336" i="10"/>
  <c r="E282" i="9"/>
  <c r="G282" i="9" s="1"/>
  <c r="D337" i="10" l="1"/>
  <c r="C337" i="10"/>
  <c r="E337" i="10" s="1"/>
  <c r="G337" i="10" s="1"/>
  <c r="C283" i="9"/>
  <c r="D283" i="9"/>
  <c r="D338" i="10" l="1"/>
  <c r="C338" i="10"/>
  <c r="E338" i="10" s="1"/>
  <c r="G338" i="10" s="1"/>
  <c r="E283" i="9"/>
  <c r="G283" i="9" s="1"/>
  <c r="D339" i="10" l="1"/>
  <c r="C339" i="10"/>
  <c r="E339" i="10" s="1"/>
  <c r="G339" i="10"/>
  <c r="C284" i="9"/>
  <c r="D284" i="9"/>
  <c r="D340" i="10" l="1"/>
  <c r="C340" i="10"/>
  <c r="E340" i="10" s="1"/>
  <c r="G340" i="10" s="1"/>
  <c r="E284" i="9"/>
  <c r="G284" i="9" s="1"/>
  <c r="D341" i="10" l="1"/>
  <c r="C341" i="10"/>
  <c r="E341" i="10" s="1"/>
  <c r="G341" i="10"/>
  <c r="D285" i="9"/>
  <c r="C285" i="9"/>
  <c r="E285" i="9" s="1"/>
  <c r="G285" i="9" s="1"/>
  <c r="D342" i="10" l="1"/>
  <c r="C342" i="10"/>
  <c r="E342" i="10" s="1"/>
  <c r="G342" i="10" s="1"/>
  <c r="D286" i="9"/>
  <c r="C286" i="9"/>
  <c r="E286" i="9" s="1"/>
  <c r="G286" i="9" s="1"/>
  <c r="D343" i="10" l="1"/>
  <c r="C343" i="10"/>
  <c r="E343" i="10" s="1"/>
  <c r="G343" i="10" s="1"/>
  <c r="C287" i="9"/>
  <c r="D287" i="9"/>
  <c r="D344" i="10" l="1"/>
  <c r="C344" i="10"/>
  <c r="E344" i="10" s="1"/>
  <c r="G344" i="10"/>
  <c r="E287" i="9"/>
  <c r="G287" i="9" s="1"/>
  <c r="D345" i="10" l="1"/>
  <c r="C345" i="10"/>
  <c r="E345" i="10" s="1"/>
  <c r="G345" i="10" s="1"/>
  <c r="C288" i="9"/>
  <c r="D288" i="9"/>
  <c r="E25" i="3"/>
  <c r="G25" i="3" s="1"/>
  <c r="D26" i="3" s="1"/>
  <c r="D346" i="10" l="1"/>
  <c r="C346" i="10"/>
  <c r="E346" i="10" s="1"/>
  <c r="G346" i="10"/>
  <c r="E288" i="9"/>
  <c r="G288" i="9" s="1"/>
  <c r="C26" i="3"/>
  <c r="D347" i="10" l="1"/>
  <c r="C347" i="10"/>
  <c r="E347" i="10" s="1"/>
  <c r="G347" i="10" s="1"/>
  <c r="D289" i="9"/>
  <c r="C289" i="9"/>
  <c r="E289" i="9" s="1"/>
  <c r="G289" i="9" s="1"/>
  <c r="E26" i="3"/>
  <c r="G26" i="3" s="1"/>
  <c r="D348" i="10" l="1"/>
  <c r="C348" i="10"/>
  <c r="E348" i="10" s="1"/>
  <c r="G348" i="10" s="1"/>
  <c r="D290" i="9"/>
  <c r="C290" i="9"/>
  <c r="E290" i="9" s="1"/>
  <c r="G290" i="9" s="1"/>
  <c r="C27" i="3"/>
  <c r="D27" i="3"/>
  <c r="D349" i="10" l="1"/>
  <c r="C349" i="10"/>
  <c r="E349" i="10" s="1"/>
  <c r="G349" i="10"/>
  <c r="C291" i="9"/>
  <c r="D291" i="9"/>
  <c r="E27" i="3"/>
  <c r="G27" i="3" s="1"/>
  <c r="D350" i="10" l="1"/>
  <c r="C350" i="10"/>
  <c r="E350" i="10" s="1"/>
  <c r="G350" i="10" s="1"/>
  <c r="E291" i="9"/>
  <c r="G291" i="9" s="1"/>
  <c r="C28" i="3"/>
  <c r="D28" i="3"/>
  <c r="D351" i="10" l="1"/>
  <c r="C351" i="10"/>
  <c r="E351" i="10" s="1"/>
  <c r="G351" i="10"/>
  <c r="C292" i="9"/>
  <c r="D292" i="9"/>
  <c r="E28" i="3"/>
  <c r="G28" i="3" s="1"/>
  <c r="D352" i="10" l="1"/>
  <c r="C352" i="10"/>
  <c r="E352" i="10" s="1"/>
  <c r="G352" i="10" s="1"/>
  <c r="E292" i="9"/>
  <c r="G292" i="9" s="1"/>
  <c r="D29" i="3"/>
  <c r="C29" i="3"/>
  <c r="D353" i="10" l="1"/>
  <c r="C353" i="10"/>
  <c r="E353" i="10" s="1"/>
  <c r="G353" i="10" s="1"/>
  <c r="D293" i="9"/>
  <c r="C293" i="9"/>
  <c r="E293" i="9" s="1"/>
  <c r="G293" i="9" s="1"/>
  <c r="E29" i="3"/>
  <c r="G29" i="3" s="1"/>
  <c r="D354" i="10" l="1"/>
  <c r="C354" i="10"/>
  <c r="E354" i="10" s="1"/>
  <c r="G354" i="10"/>
  <c r="C294" i="9"/>
  <c r="D294" i="9"/>
  <c r="C30" i="3"/>
  <c r="D30" i="3"/>
  <c r="D355" i="10" l="1"/>
  <c r="C355" i="10"/>
  <c r="E355" i="10" s="1"/>
  <c r="G355" i="10" s="1"/>
  <c r="E294" i="9"/>
  <c r="G294" i="9" s="1"/>
  <c r="E30" i="3"/>
  <c r="G30" i="3" s="1"/>
  <c r="C356" i="10" l="1"/>
  <c r="D356" i="10"/>
  <c r="C295" i="9"/>
  <c r="D295" i="9"/>
  <c r="D31" i="3"/>
  <c r="C31" i="3"/>
  <c r="E31" i="3" s="1"/>
  <c r="G31" i="3" s="1"/>
  <c r="E356" i="10" l="1"/>
  <c r="G356" i="10" s="1"/>
  <c r="E295" i="9"/>
  <c r="G295" i="9" s="1"/>
  <c r="D32" i="3"/>
  <c r="C32" i="3"/>
  <c r="E32" i="3" s="1"/>
  <c r="G32" i="3" s="1"/>
  <c r="D357" i="10" l="1"/>
  <c r="C357" i="10"/>
  <c r="E357" i="10" s="1"/>
  <c r="G357" i="10" s="1"/>
  <c r="C296" i="9"/>
  <c r="D296" i="9"/>
  <c r="C33" i="3"/>
  <c r="D33" i="3"/>
  <c r="D358" i="10" l="1"/>
  <c r="C358" i="10"/>
  <c r="E358" i="10" s="1"/>
  <c r="G358" i="10" s="1"/>
  <c r="E296" i="9"/>
  <c r="G296" i="9" s="1"/>
  <c r="E33" i="3"/>
  <c r="G33" i="3" s="1"/>
  <c r="D359" i="10" l="1"/>
  <c r="C359" i="10"/>
  <c r="E359" i="10" s="1"/>
  <c r="G359" i="10"/>
  <c r="D297" i="9"/>
  <c r="C297" i="9"/>
  <c r="E297" i="9" s="1"/>
  <c r="G297" i="9" s="1"/>
  <c r="C34" i="3"/>
  <c r="D34" i="3"/>
  <c r="D360" i="10" l="1"/>
  <c r="C360" i="10"/>
  <c r="E360" i="10" s="1"/>
  <c r="G360" i="10" s="1"/>
  <c r="D298" i="9"/>
  <c r="C298" i="9"/>
  <c r="E298" i="9" s="1"/>
  <c r="G298" i="9" s="1"/>
  <c r="E34" i="3"/>
  <c r="G34" i="3" s="1"/>
  <c r="D361" i="10" l="1"/>
  <c r="C361" i="10"/>
  <c r="E361" i="10" s="1"/>
  <c r="G361" i="10"/>
  <c r="C299" i="9"/>
  <c r="D299" i="9"/>
  <c r="C35" i="3"/>
  <c r="D35" i="3"/>
  <c r="D362" i="10" l="1"/>
  <c r="C362" i="10"/>
  <c r="E362" i="10" s="1"/>
  <c r="G362" i="10" s="1"/>
  <c r="E299" i="9"/>
  <c r="G299" i="9" s="1"/>
  <c r="E35" i="3"/>
  <c r="G35" i="3" s="1"/>
  <c r="D363" i="10" l="1"/>
  <c r="C363" i="10"/>
  <c r="E363" i="10" s="1"/>
  <c r="G363" i="10" s="1"/>
  <c r="C300" i="9"/>
  <c r="D300" i="9"/>
  <c r="D36" i="3"/>
  <c r="C36" i="3"/>
  <c r="E36" i="3" s="1"/>
  <c r="G36" i="3" s="1"/>
  <c r="C364" i="10" l="1"/>
  <c r="D364" i="10"/>
  <c r="E300" i="9"/>
  <c r="G300" i="9" s="1"/>
  <c r="D37" i="3"/>
  <c r="C37" i="3"/>
  <c r="E37" i="3" s="1"/>
  <c r="G37" i="3" s="1"/>
  <c r="E364" i="10" l="1"/>
  <c r="G364" i="10" s="1"/>
  <c r="D301" i="9"/>
  <c r="C301" i="9"/>
  <c r="D38" i="3"/>
  <c r="C38" i="3"/>
  <c r="E38" i="3" s="1"/>
  <c r="G38" i="3"/>
  <c r="D365" i="10" l="1"/>
  <c r="C365" i="10"/>
  <c r="E365" i="10" s="1"/>
  <c r="G365" i="10" s="1"/>
  <c r="E301" i="9"/>
  <c r="G301" i="9" s="1"/>
  <c r="C39" i="3"/>
  <c r="D39" i="3"/>
  <c r="C366" i="10" l="1"/>
  <c r="D366" i="10"/>
  <c r="D302" i="9"/>
  <c r="C302" i="9"/>
  <c r="E302" i="9" s="1"/>
  <c r="G302" i="9" s="1"/>
  <c r="E39" i="3"/>
  <c r="G39" i="3" s="1"/>
  <c r="E366" i="10" l="1"/>
  <c r="G366" i="10" s="1"/>
  <c r="C303" i="9"/>
  <c r="D303" i="9"/>
  <c r="D40" i="3"/>
  <c r="C40" i="3"/>
  <c r="E40" i="3" s="1"/>
  <c r="G40" i="3"/>
  <c r="D367" i="10" l="1"/>
  <c r="C367" i="10"/>
  <c r="E367" i="10" s="1"/>
  <c r="G367" i="10" s="1"/>
  <c r="E303" i="9"/>
  <c r="G303" i="9" s="1"/>
  <c r="D41" i="3"/>
  <c r="C41" i="3"/>
  <c r="E41" i="3" s="1"/>
  <c r="G41" i="3" s="1"/>
  <c r="D368" i="10" l="1"/>
  <c r="C368" i="10"/>
  <c r="E368" i="10" s="1"/>
  <c r="G368" i="10" s="1"/>
  <c r="C304" i="9"/>
  <c r="D304" i="9"/>
  <c r="D42" i="3"/>
  <c r="C42" i="3"/>
  <c r="E42" i="3" s="1"/>
  <c r="G42" i="3"/>
  <c r="D369" i="10" l="1"/>
  <c r="C369" i="10"/>
  <c r="E369" i="10" s="1"/>
  <c r="G369" i="10"/>
  <c r="E304" i="9"/>
  <c r="G304" i="9" s="1"/>
  <c r="D43" i="3"/>
  <c r="C43" i="3"/>
  <c r="E43" i="3" s="1"/>
  <c r="G43" i="3"/>
  <c r="D370" i="10" l="1"/>
  <c r="F3" i="10" s="1"/>
  <c r="F4" i="10" s="1"/>
  <c r="C370" i="10"/>
  <c r="D305" i="9"/>
  <c r="C305" i="9"/>
  <c r="E305" i="9" s="1"/>
  <c r="G305" i="9" s="1"/>
  <c r="C44" i="3"/>
  <c r="D44" i="3"/>
  <c r="E370" i="10" l="1"/>
  <c r="G370" i="10" s="1"/>
  <c r="F5" i="10"/>
  <c r="D306" i="9"/>
  <c r="C306" i="9"/>
  <c r="E306" i="9" s="1"/>
  <c r="G306" i="9" s="1"/>
  <c r="E44" i="3"/>
  <c r="G44" i="3" s="1"/>
  <c r="C307" i="9" l="1"/>
  <c r="D307" i="9"/>
  <c r="D45" i="3"/>
  <c r="C45" i="3"/>
  <c r="E45" i="3" s="1"/>
  <c r="G45" i="3" s="1"/>
  <c r="E307" i="9" l="1"/>
  <c r="G307" i="9" s="1"/>
  <c r="C308" i="9"/>
  <c r="D308" i="9"/>
  <c r="D46" i="3"/>
  <c r="C46" i="3"/>
  <c r="E46" i="3" s="1"/>
  <c r="G46" i="3" s="1"/>
  <c r="E308" i="9" l="1"/>
  <c r="G308" i="9" s="1"/>
  <c r="D47" i="3"/>
  <c r="C47" i="3"/>
  <c r="E47" i="3" s="1"/>
  <c r="G47" i="3" s="1"/>
  <c r="D309" i="9" l="1"/>
  <c r="C309" i="9"/>
  <c r="E309" i="9" s="1"/>
  <c r="G309" i="9" s="1"/>
  <c r="D48" i="3"/>
  <c r="C48" i="3"/>
  <c r="E48" i="3" s="1"/>
  <c r="G48" i="3" s="1"/>
  <c r="C310" i="9" l="1"/>
  <c r="D310" i="9"/>
  <c r="D49" i="3"/>
  <c r="C49" i="3"/>
  <c r="E49" i="3" s="1"/>
  <c r="G49" i="3" s="1"/>
  <c r="E310" i="9" l="1"/>
  <c r="G310" i="9" s="1"/>
  <c r="C50" i="3"/>
  <c r="D50" i="3"/>
  <c r="C311" i="9" l="1"/>
  <c r="D311" i="9"/>
  <c r="E50" i="3"/>
  <c r="G50" i="3" s="1"/>
  <c r="E311" i="9" l="1"/>
  <c r="G311" i="9" s="1"/>
  <c r="C51" i="3"/>
  <c r="D51" i="3"/>
  <c r="C312" i="9" l="1"/>
  <c r="D312" i="9"/>
  <c r="E51" i="3"/>
  <c r="G51" i="3" s="1"/>
  <c r="E312" i="9" l="1"/>
  <c r="G312" i="9" s="1"/>
  <c r="D52" i="3"/>
  <c r="C52" i="3"/>
  <c r="E52" i="3" s="1"/>
  <c r="G52" i="3" s="1"/>
  <c r="D313" i="9" l="1"/>
  <c r="C313" i="9"/>
  <c r="E313" i="9" s="1"/>
  <c r="G313" i="9" s="1"/>
  <c r="C53" i="3"/>
  <c r="D53" i="3"/>
  <c r="C314" i="9" l="1"/>
  <c r="D314" i="9"/>
  <c r="E53" i="3"/>
  <c r="G53" i="3" s="1"/>
  <c r="E314" i="9" l="1"/>
  <c r="G314" i="9" s="1"/>
  <c r="D54" i="3"/>
  <c r="C54" i="3"/>
  <c r="E54" i="3" s="1"/>
  <c r="G54" i="3" s="1"/>
  <c r="C315" i="9" l="1"/>
  <c r="D315" i="9"/>
  <c r="C55" i="3"/>
  <c r="D55" i="3"/>
  <c r="E315" i="9" l="1"/>
  <c r="G315" i="9" s="1"/>
  <c r="E55" i="3"/>
  <c r="G55" i="3" s="1"/>
  <c r="C316" i="9" l="1"/>
  <c r="D316" i="9"/>
  <c r="C56" i="3"/>
  <c r="D56" i="3"/>
  <c r="E316" i="9" l="1"/>
  <c r="G316" i="9" s="1"/>
  <c r="E56" i="3"/>
  <c r="G56" i="3" s="1"/>
  <c r="D317" i="9" l="1"/>
  <c r="C317" i="9"/>
  <c r="E317" i="9" s="1"/>
  <c r="G317" i="9" s="1"/>
  <c r="C57" i="3"/>
  <c r="D57" i="3"/>
  <c r="D318" i="9" l="1"/>
  <c r="C318" i="9"/>
  <c r="E318" i="9" s="1"/>
  <c r="G318" i="9" s="1"/>
  <c r="E57" i="3"/>
  <c r="G57" i="3" s="1"/>
  <c r="C319" i="9" l="1"/>
  <c r="D319" i="9"/>
  <c r="C58" i="3"/>
  <c r="D58" i="3"/>
  <c r="F3" i="3" s="1"/>
  <c r="F4" i="3" s="1"/>
  <c r="E319" i="9" l="1"/>
  <c r="G319" i="9" s="1"/>
  <c r="E58" i="3"/>
  <c r="G58" i="3" s="1"/>
  <c r="F5" i="3"/>
  <c r="C320" i="9" l="1"/>
  <c r="D320" i="9"/>
  <c r="E320" i="9" l="1"/>
  <c r="G320" i="9" s="1"/>
  <c r="D321" i="9" l="1"/>
  <c r="C321" i="9"/>
  <c r="E321" i="9" s="1"/>
  <c r="G321" i="9" s="1"/>
  <c r="D322" i="9" l="1"/>
  <c r="C322" i="9"/>
  <c r="E322" i="9" s="1"/>
  <c r="G322" i="9" s="1"/>
  <c r="C323" i="9" l="1"/>
  <c r="D323" i="9"/>
  <c r="E323" i="9" l="1"/>
  <c r="G323" i="9" s="1"/>
  <c r="C324" i="9" l="1"/>
  <c r="D324" i="9"/>
  <c r="E324" i="9" l="1"/>
  <c r="G324" i="9" s="1"/>
  <c r="D325" i="9" l="1"/>
  <c r="C325" i="9"/>
  <c r="E325" i="9" s="1"/>
  <c r="G325" i="9" s="1"/>
  <c r="C326" i="9" l="1"/>
  <c r="D326" i="9"/>
  <c r="E326" i="9" l="1"/>
  <c r="G326" i="9" s="1"/>
  <c r="C327" i="9" l="1"/>
  <c r="D327" i="9"/>
  <c r="E327" i="9" l="1"/>
  <c r="G327" i="9" s="1"/>
  <c r="C328" i="9" l="1"/>
  <c r="D328" i="9"/>
  <c r="E328" i="9" l="1"/>
  <c r="G328" i="9" s="1"/>
  <c r="D329" i="9" l="1"/>
  <c r="C329" i="9"/>
  <c r="E329" i="9" s="1"/>
  <c r="G329" i="9" s="1"/>
  <c r="D330" i="9" l="1"/>
  <c r="C330" i="9"/>
  <c r="E330" i="9" s="1"/>
  <c r="G330" i="9" s="1"/>
  <c r="C331" i="9" l="1"/>
  <c r="D331" i="9"/>
  <c r="E331" i="9" l="1"/>
  <c r="G331" i="9" s="1"/>
  <c r="C332" i="9" l="1"/>
  <c r="D332" i="9"/>
  <c r="E332" i="9" l="1"/>
  <c r="G332" i="9" s="1"/>
  <c r="D333" i="9" l="1"/>
  <c r="C333" i="9"/>
  <c r="E333" i="9" s="1"/>
  <c r="G333" i="9" s="1"/>
  <c r="D334" i="9" l="1"/>
  <c r="C334" i="9"/>
  <c r="E334" i="9" s="1"/>
  <c r="G334" i="9" s="1"/>
  <c r="C335" i="9" l="1"/>
  <c r="D335" i="9"/>
  <c r="E335" i="9" l="1"/>
  <c r="G335" i="9" s="1"/>
  <c r="C336" i="9" l="1"/>
  <c r="D336" i="9"/>
  <c r="E336" i="9" l="1"/>
  <c r="G336" i="9" s="1"/>
  <c r="D337" i="9" l="1"/>
  <c r="C337" i="9"/>
  <c r="E337" i="9" s="1"/>
  <c r="G337" i="9" s="1"/>
  <c r="D338" i="9" l="1"/>
  <c r="C338" i="9"/>
  <c r="E338" i="9" s="1"/>
  <c r="G338" i="9" s="1"/>
  <c r="C339" i="9" l="1"/>
  <c r="D339" i="9"/>
  <c r="E339" i="9" l="1"/>
  <c r="G339" i="9" s="1"/>
  <c r="C340" i="9" l="1"/>
  <c r="D340" i="9"/>
  <c r="E340" i="9" l="1"/>
  <c r="G340" i="9" s="1"/>
  <c r="D341" i="9" l="1"/>
  <c r="C341" i="9"/>
  <c r="E341" i="9" s="1"/>
  <c r="G341" i="9" s="1"/>
  <c r="C342" i="9" l="1"/>
  <c r="D342" i="9"/>
  <c r="E342" i="9" l="1"/>
  <c r="G342" i="9" s="1"/>
  <c r="C343" i="9" l="1"/>
  <c r="D343" i="9"/>
  <c r="E343" i="9" l="1"/>
  <c r="G343" i="9" s="1"/>
  <c r="C344" i="9" l="1"/>
  <c r="D344" i="9"/>
  <c r="E344" i="9" l="1"/>
  <c r="G344" i="9" s="1"/>
  <c r="D345" i="9" l="1"/>
  <c r="C345" i="9"/>
  <c r="E345" i="9" s="1"/>
  <c r="G345" i="9" s="1"/>
  <c r="D346" i="9" l="1"/>
  <c r="C346" i="9"/>
  <c r="E346" i="9" s="1"/>
  <c r="G346" i="9" s="1"/>
  <c r="C347" i="9" l="1"/>
  <c r="D347" i="9"/>
  <c r="E347" i="9" l="1"/>
  <c r="G347" i="9" s="1"/>
  <c r="C348" i="9" l="1"/>
  <c r="D348" i="9"/>
  <c r="E348" i="9" l="1"/>
  <c r="G348" i="9" s="1"/>
  <c r="D349" i="9" l="1"/>
  <c r="C349" i="9"/>
  <c r="E349" i="9" s="1"/>
  <c r="G349" i="9" s="1"/>
  <c r="D350" i="9" l="1"/>
  <c r="C350" i="9"/>
  <c r="E350" i="9" s="1"/>
  <c r="G350" i="9" s="1"/>
  <c r="C351" i="9" l="1"/>
  <c r="D351" i="9"/>
  <c r="E351" i="9" l="1"/>
  <c r="G351" i="9" s="1"/>
  <c r="C352" i="9" l="1"/>
  <c r="D352" i="9"/>
  <c r="E352" i="9" l="1"/>
  <c r="G352" i="9" s="1"/>
  <c r="D353" i="9" l="1"/>
  <c r="C353" i="9"/>
  <c r="E353" i="9" s="1"/>
  <c r="G353" i="9" s="1"/>
  <c r="C354" i="9" l="1"/>
  <c r="D354" i="9"/>
  <c r="E354" i="9" l="1"/>
  <c r="G354" i="9" s="1"/>
  <c r="C355" i="9" l="1"/>
  <c r="D355" i="9"/>
  <c r="E355" i="9" l="1"/>
  <c r="G355" i="9" s="1"/>
  <c r="C356" i="9" l="1"/>
  <c r="D356" i="9"/>
  <c r="E356" i="9" l="1"/>
  <c r="G356" i="9" s="1"/>
  <c r="D357" i="9" l="1"/>
  <c r="C357" i="9"/>
  <c r="E357" i="9" s="1"/>
  <c r="G357" i="9" s="1"/>
  <c r="C358" i="9" l="1"/>
  <c r="D358" i="9"/>
  <c r="E358" i="9" l="1"/>
  <c r="G358" i="9" s="1"/>
  <c r="C359" i="9" l="1"/>
  <c r="D359" i="9"/>
  <c r="E359" i="9" l="1"/>
  <c r="G359" i="9" s="1"/>
  <c r="C360" i="9" l="1"/>
  <c r="D360" i="9"/>
  <c r="E360" i="9" l="1"/>
  <c r="G360" i="9" s="1"/>
  <c r="D361" i="9" l="1"/>
  <c r="C361" i="9"/>
  <c r="E361" i="9" s="1"/>
  <c r="G361" i="9" s="1"/>
  <c r="D362" i="9" l="1"/>
  <c r="C362" i="9"/>
  <c r="E362" i="9" s="1"/>
  <c r="G362" i="9" s="1"/>
  <c r="C363" i="9" l="1"/>
  <c r="D363" i="9"/>
  <c r="E363" i="9" l="1"/>
  <c r="G363" i="9" s="1"/>
  <c r="C364" i="9" l="1"/>
  <c r="D364" i="9"/>
  <c r="E364" i="9" l="1"/>
  <c r="G364" i="9" s="1"/>
  <c r="D365" i="9" l="1"/>
  <c r="C365" i="9"/>
  <c r="E365" i="9" s="1"/>
  <c r="G365" i="9" s="1"/>
  <c r="D366" i="9" l="1"/>
  <c r="C366" i="9"/>
  <c r="E366" i="9" s="1"/>
  <c r="G366" i="9" s="1"/>
  <c r="C367" i="9" l="1"/>
  <c r="D367" i="9"/>
  <c r="E367" i="9" l="1"/>
  <c r="G367" i="9" s="1"/>
  <c r="D368" i="9" l="1"/>
  <c r="C368" i="9"/>
  <c r="E368" i="9" s="1"/>
  <c r="G368" i="9" s="1"/>
  <c r="D369" i="9" l="1"/>
  <c r="C369" i="9"/>
  <c r="E369" i="9" s="1"/>
  <c r="G369" i="9" s="1"/>
  <c r="D370" i="9" l="1"/>
  <c r="F3" i="9" s="1"/>
  <c r="F4" i="9" s="1"/>
  <c r="C370" i="9"/>
  <c r="E370" i="9" l="1"/>
  <c r="G370" i="9" s="1"/>
  <c r="F5" i="9"/>
</calcChain>
</file>

<file path=xl/sharedStrings.xml><?xml version="1.0" encoding="utf-8"?>
<sst xmlns="http://schemas.openxmlformats.org/spreadsheetml/2006/main" count="171" uniqueCount="51">
  <si>
    <t>Car Payment Calculator With Extra Payments | Excel Tutorial</t>
  </si>
  <si>
    <t>https://youtu.be/hSU_llYU5QM</t>
  </si>
  <si>
    <t>Loan</t>
  </si>
  <si>
    <t>Interest Rate</t>
  </si>
  <si>
    <t>Rate (Monthly)</t>
  </si>
  <si>
    <t>Periods (Years)</t>
  </si>
  <si>
    <t>Periods (Months)</t>
  </si>
  <si>
    <t>PMT (Payment)</t>
  </si>
  <si>
    <t>Period (Month)</t>
  </si>
  <si>
    <t>Payment</t>
  </si>
  <si>
    <t>Interest</t>
  </si>
  <si>
    <t>Principal</t>
  </si>
  <si>
    <t>Extra Pmt</t>
  </si>
  <si>
    <t>Loan Balance</t>
  </si>
  <si>
    <t>Original Interest</t>
  </si>
  <si>
    <t>Current Interest</t>
  </si>
  <si>
    <t>Interest Saved</t>
  </si>
  <si>
    <t>How to Copy and Paste Values Without Formula in Excel</t>
  </si>
  <si>
    <t>https://youtu.be/E2qBofQrAXY</t>
  </si>
  <si>
    <t>Extra payment: 0</t>
  </si>
  <si>
    <t>Total months</t>
  </si>
  <si>
    <t>Extra payment: first month $1000</t>
  </si>
  <si>
    <t>Extra payment: monthly $1000</t>
  </si>
  <si>
    <t>Loan1</t>
  </si>
  <si>
    <t>Loan2</t>
  </si>
  <si>
    <t>Textbook</t>
  </si>
  <si>
    <t>chapter 2</t>
  </si>
  <si>
    <t>2.1 Introduction</t>
  </si>
  <si>
    <t>2.17 Software Development Process</t>
  </si>
  <si>
    <t>VideoNote 2.4 Compute Loan Payments</t>
  </si>
  <si>
    <t>This program lets the user enter the interest rate, number of years, and loan amount, and computes monthly payment and total payment.</t>
  </si>
  <si>
    <t>chapter 5</t>
  </si>
  <si>
    <t>Programming Exercises From The Book</t>
  </si>
  <si>
    <t>5.21 Financial applicaton: compare loans with various interest rates</t>
  </si>
  <si>
    <t>5.22 Financial application: loan amortization schedule</t>
  </si>
  <si>
    <t>VideoNote 5.6 Display Loan Schedule</t>
  </si>
  <si>
    <t>chapter 10</t>
  </si>
  <si>
    <t>Live Example 2.9 ComputeLoan.java</t>
  </si>
  <si>
    <t>10.2 Class Abstraction and Encapsulation</t>
  </si>
  <si>
    <t>LiveExample 10.1 TestLoanClass.java</t>
  </si>
  <si>
    <t>LiveExample 10.2 Loan.java</t>
  </si>
  <si>
    <t>VideoNote 10.1 The Loan Class</t>
  </si>
  <si>
    <t>chapter 15</t>
  </si>
  <si>
    <t>chapter 17</t>
  </si>
  <si>
    <t>17.6 Store Loan objects</t>
  </si>
  <si>
    <t>17.7 restore objects from a file</t>
  </si>
  <si>
    <t>15.7 Case Study: Loan Calculator</t>
  </si>
  <si>
    <t>LiveExample 15.7 LoanCalculator.java</t>
  </si>
  <si>
    <t>(not covered in the class)</t>
  </si>
  <si>
    <t>chapter 20</t>
  </si>
  <si>
    <t>20.6 The Comparator Interface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</si>
</sst>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_([$$-409]* #,##0.00_);_([$$-409]* \(#,##0.00\);_([$$-409]* &quot;-&quot;??_);_(@_)"/>
    <numFmt numFmtId="165" formatCode="#,##0.00;\-#,##0.00;;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25">
    <xf numFmtId="0" fontId="0" fillId="0" borderId="0" xfId="0"/>
    <xf numFmtId="0" fontId="0" fillId="0" borderId="0" xfId="0" applyAlignment="1">
      <alignment vertical="center"/>
    </xf>
    <xf numFmtId="0" fontId="3" fillId="0" borderId="0" xfId="2">
      <alignment vertical="center"/>
    </xf>
    <xf numFmtId="0" fontId="0" fillId="0" borderId="1" xfId="0" applyBorder="1"/>
    <xf numFmtId="0" fontId="0" fillId="2" borderId="1" xfId="0" applyFill="1" applyBorder="1"/>
    <xf numFmtId="164" fontId="0" fillId="2" borderId="1" xfId="0" applyNumberFormat="1" applyFill="1" applyBorder="1"/>
    <xf numFmtId="10" fontId="0" fillId="0" borderId="1" xfId="1" applyNumberFormat="1" applyFont="1" applyBorder="1"/>
    <xf numFmtId="10" fontId="0" fillId="2" borderId="1" xfId="1" applyNumberFormat="1" applyFont="1" applyFill="1" applyBorder="1"/>
    <xf numFmtId="8" fontId="0" fillId="0" borderId="1" xfId="0" applyNumberFormat="1" applyBorder="1"/>
    <xf numFmtId="164" fontId="0" fillId="0" borderId="0" xfId="0" applyNumberFormat="1"/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164" fontId="0" fillId="0" borderId="1" xfId="0" applyNumberFormat="1" applyBorder="1"/>
    <xf numFmtId="0" fontId="2" fillId="3" borderId="1" xfId="0" applyFont="1" applyFill="1" applyBorder="1"/>
    <xf numFmtId="0" fontId="3" fillId="0" borderId="0" xfId="2" applyAlignment="1"/>
    <xf numFmtId="165" fontId="0" fillId="0" borderId="1" xfId="0" applyNumberFormat="1" applyBorder="1" applyAlignment="1">
      <alignment horizontal="center"/>
    </xf>
    <xf numFmtId="1" fontId="0" fillId="0" borderId="1" xfId="0" applyNumberFormat="1" applyBorder="1"/>
    <xf numFmtId="1" fontId="0" fillId="0" borderId="0" xfId="0" applyNumberFormat="1"/>
    <xf numFmtId="0" fontId="2" fillId="0" borderId="0" xfId="0" applyFont="1"/>
    <xf numFmtId="0" fontId="0" fillId="4" borderId="1" xfId="0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0" fontId="0" fillId="2" borderId="0" xfId="0" applyFill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581025</xdr:colOff>
          <xdr:row>14</xdr:row>
          <xdr:rowOff>95250</xdr:rowOff>
        </xdr:from>
        <xdr:to>
          <xdr:col>8</xdr:col>
          <xdr:colOff>571500</xdr:colOff>
          <xdr:row>18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9</xdr:col>
      <xdr:colOff>103879</xdr:colOff>
      <xdr:row>14</xdr:row>
      <xdr:rowOff>76200</xdr:rowOff>
    </xdr:from>
    <xdr:to>
      <xdr:col>16</xdr:col>
      <xdr:colOff>20006</xdr:colOff>
      <xdr:row>30</xdr:row>
      <xdr:rowOff>181696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126BBC-9B9E-98B2-11A4-26EC3A9C1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7429" y="2743200"/>
          <a:ext cx="4183327" cy="315349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youtu.be/E2qBofQrAXY" TargetMode="External"/><Relationship Id="rId1" Type="http://schemas.openxmlformats.org/officeDocument/2006/relationships/hyperlink" Target="https://youtu.be/hSU_llYU5QM" TargetMode="External"/><Relationship Id="rId6" Type="http://schemas.openxmlformats.org/officeDocument/2006/relationships/image" Target="../media/image1.emf"/><Relationship Id="rId5" Type="http://schemas.openxmlformats.org/officeDocument/2006/relationships/oleObject" Target="../embeddings/oleObject1.bin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E24" sqref="E24"/>
    </sheetView>
  </sheetViews>
  <sheetFormatPr defaultColWidth="15.7109375" defaultRowHeight="15" x14ac:dyDescent="0.25"/>
  <sheetData>
    <row r="1" spans="1:5" x14ac:dyDescent="0.25">
      <c r="A1" s="19" t="s">
        <v>23</v>
      </c>
      <c r="D1" s="19" t="s">
        <v>24</v>
      </c>
    </row>
    <row r="2" spans="1:5" x14ac:dyDescent="0.25">
      <c r="A2" s="12" t="s">
        <v>2</v>
      </c>
      <c r="B2" s="5">
        <v>20000</v>
      </c>
      <c r="D2" s="20" t="s">
        <v>2</v>
      </c>
      <c r="E2" s="5">
        <v>300000</v>
      </c>
    </row>
    <row r="3" spans="1:5" x14ac:dyDescent="0.25">
      <c r="A3" s="12" t="s">
        <v>3</v>
      </c>
      <c r="B3" s="7">
        <v>0.05</v>
      </c>
      <c r="D3" s="20" t="s">
        <v>3</v>
      </c>
      <c r="E3" s="7">
        <v>0.05</v>
      </c>
    </row>
    <row r="4" spans="1:5" x14ac:dyDescent="0.25">
      <c r="A4" s="12" t="s">
        <v>4</v>
      </c>
      <c r="B4" s="6">
        <v>4.1666666666666666E-3</v>
      </c>
      <c r="D4" s="20" t="s">
        <v>4</v>
      </c>
      <c r="E4" s="6">
        <v>4.1666666666666666E-3</v>
      </c>
    </row>
    <row r="5" spans="1:5" x14ac:dyDescent="0.25">
      <c r="A5" s="12" t="s">
        <v>5</v>
      </c>
      <c r="B5" s="4">
        <v>4</v>
      </c>
      <c r="D5" s="20" t="s">
        <v>5</v>
      </c>
      <c r="E5" s="4">
        <v>30</v>
      </c>
    </row>
    <row r="6" spans="1:5" x14ac:dyDescent="0.25">
      <c r="A6" s="12" t="s">
        <v>6</v>
      </c>
      <c r="B6" s="3">
        <v>48</v>
      </c>
      <c r="D6" s="20" t="s">
        <v>6</v>
      </c>
      <c r="E6" s="3">
        <v>360</v>
      </c>
    </row>
    <row r="7" spans="1:5" x14ac:dyDescent="0.25">
      <c r="A7" s="12" t="s">
        <v>7</v>
      </c>
      <c r="B7" s="8">
        <v>460.58587141293037</v>
      </c>
      <c r="D7" s="20" t="s">
        <v>7</v>
      </c>
      <c r="E7" s="8">
        <v>1610.4648690364172</v>
      </c>
    </row>
    <row r="9" spans="1:5" x14ac:dyDescent="0.25">
      <c r="A9" t="s">
        <v>19</v>
      </c>
      <c r="D9" t="s">
        <v>19</v>
      </c>
    </row>
    <row r="10" spans="1:5" x14ac:dyDescent="0.25">
      <c r="A10" s="14" t="s">
        <v>14</v>
      </c>
      <c r="B10" s="13">
        <v>2108.12</v>
      </c>
      <c r="D10" s="21" t="s">
        <v>14</v>
      </c>
      <c r="E10" s="13">
        <v>279767.34999999998</v>
      </c>
    </row>
    <row r="11" spans="1:5" x14ac:dyDescent="0.25">
      <c r="A11" s="14" t="s">
        <v>15</v>
      </c>
      <c r="B11" s="13">
        <v>2108.1218278206497</v>
      </c>
      <c r="D11" s="21" t="s">
        <v>15</v>
      </c>
      <c r="E11" s="13">
        <v>279767.35285310925</v>
      </c>
    </row>
    <row r="12" spans="1:5" x14ac:dyDescent="0.25">
      <c r="A12" s="14" t="s">
        <v>16</v>
      </c>
      <c r="B12" s="13">
        <v>-1.8278206498507643E-3</v>
      </c>
      <c r="D12" s="21" t="s">
        <v>16</v>
      </c>
      <c r="E12" s="13">
        <v>-2.8531092684715986E-3</v>
      </c>
    </row>
    <row r="13" spans="1:5" x14ac:dyDescent="0.25">
      <c r="A13" s="14" t="s">
        <v>20</v>
      </c>
      <c r="B13" s="17">
        <v>48</v>
      </c>
      <c r="D13" s="21" t="s">
        <v>20</v>
      </c>
      <c r="E13" s="17">
        <v>360</v>
      </c>
    </row>
    <row r="14" spans="1:5" x14ac:dyDescent="0.25">
      <c r="B14" s="18"/>
    </row>
    <row r="15" spans="1:5" x14ac:dyDescent="0.25">
      <c r="A15" t="s">
        <v>21</v>
      </c>
      <c r="D15" t="s">
        <v>21</v>
      </c>
    </row>
    <row r="16" spans="1:5" x14ac:dyDescent="0.25">
      <c r="A16" s="14" t="s">
        <v>14</v>
      </c>
      <c r="B16" s="13">
        <v>2108.12</v>
      </c>
      <c r="D16" s="21" t="s">
        <v>14</v>
      </c>
      <c r="E16" s="13">
        <v>279767.34999999998</v>
      </c>
    </row>
    <row r="17" spans="1:5" x14ac:dyDescent="0.25">
      <c r="A17" s="14" t="s">
        <v>15</v>
      </c>
      <c r="B17" s="13">
        <v>1896.6358617935946</v>
      </c>
      <c r="D17" s="21" t="s">
        <v>15</v>
      </c>
      <c r="E17" s="13">
        <v>276334.97361217404</v>
      </c>
    </row>
    <row r="18" spans="1:5" x14ac:dyDescent="0.25">
      <c r="A18" s="14" t="s">
        <v>16</v>
      </c>
      <c r="B18" s="13">
        <v>211.48413820640531</v>
      </c>
      <c r="D18" s="21" t="s">
        <v>16</v>
      </c>
      <c r="E18" s="13">
        <v>3432.3763878259342</v>
      </c>
    </row>
    <row r="19" spans="1:5" x14ac:dyDescent="0.25">
      <c r="A19" s="14" t="s">
        <v>20</v>
      </c>
      <c r="B19" s="17">
        <v>46</v>
      </c>
      <c r="D19" s="21" t="s">
        <v>20</v>
      </c>
      <c r="E19" s="17">
        <v>358</v>
      </c>
    </row>
    <row r="21" spans="1:5" x14ac:dyDescent="0.25">
      <c r="A21" t="s">
        <v>22</v>
      </c>
      <c r="D21" t="s">
        <v>22</v>
      </c>
    </row>
    <row r="22" spans="1:5" x14ac:dyDescent="0.25">
      <c r="A22" s="14" t="s">
        <v>14</v>
      </c>
      <c r="B22" s="13">
        <v>2108.12</v>
      </c>
      <c r="D22" s="21" t="s">
        <v>14</v>
      </c>
      <c r="E22" s="13">
        <v>279767.34999999998</v>
      </c>
    </row>
    <row r="23" spans="1:5" x14ac:dyDescent="0.25">
      <c r="A23" s="14" t="s">
        <v>15</v>
      </c>
      <c r="B23" s="13">
        <v>636.43542893756774</v>
      </c>
      <c r="D23" s="21" t="s">
        <v>15</v>
      </c>
      <c r="E23" s="13">
        <v>109151.12478544995</v>
      </c>
    </row>
    <row r="24" spans="1:5" x14ac:dyDescent="0.25">
      <c r="A24" s="14" t="s">
        <v>16</v>
      </c>
      <c r="B24" s="13">
        <v>1471.684571062432</v>
      </c>
      <c r="D24" s="21" t="s">
        <v>16</v>
      </c>
      <c r="E24" s="13">
        <v>170616.22521455004</v>
      </c>
    </row>
    <row r="25" spans="1:5" x14ac:dyDescent="0.25">
      <c r="A25" s="14" t="s">
        <v>20</v>
      </c>
      <c r="B25" s="17">
        <v>15</v>
      </c>
      <c r="D25" s="21" t="s">
        <v>20</v>
      </c>
      <c r="E25" s="17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F4FB2-E4E2-466B-A360-7DAF45370F46}">
  <dimension ref="A1:C42"/>
  <sheetViews>
    <sheetView workbookViewId="0">
      <selection activeCell="S37" sqref="S37"/>
    </sheetView>
  </sheetViews>
  <sheetFormatPr defaultRowHeight="15" x14ac:dyDescent="0.25"/>
  <cols>
    <col min="1" max="1" width="10" customWidth="1"/>
  </cols>
  <sheetData>
    <row r="1" spans="1:3" x14ac:dyDescent="0.25">
      <c r="B1" s="1" t="s">
        <v>0</v>
      </c>
    </row>
    <row r="2" spans="1:3" x14ac:dyDescent="0.25">
      <c r="B2" s="2" t="s">
        <v>1</v>
      </c>
    </row>
    <row r="4" spans="1:3" x14ac:dyDescent="0.25">
      <c r="B4" t="s">
        <v>17</v>
      </c>
    </row>
    <row r="5" spans="1:3" x14ac:dyDescent="0.25">
      <c r="B5" s="15" t="s">
        <v>18</v>
      </c>
    </row>
    <row r="8" spans="1:3" x14ac:dyDescent="0.25">
      <c r="A8" t="s">
        <v>25</v>
      </c>
    </row>
    <row r="9" spans="1:3" x14ac:dyDescent="0.25">
      <c r="A9" s="24" t="s">
        <v>26</v>
      </c>
    </row>
    <row r="10" spans="1:3" x14ac:dyDescent="0.25">
      <c r="B10" t="s">
        <v>27</v>
      </c>
    </row>
    <row r="11" spans="1:3" x14ac:dyDescent="0.25">
      <c r="B11" t="s">
        <v>28</v>
      </c>
    </row>
    <row r="12" spans="1:3" x14ac:dyDescent="0.25">
      <c r="C12" t="s">
        <v>29</v>
      </c>
    </row>
    <row r="13" spans="1:3" x14ac:dyDescent="0.25">
      <c r="C13" t="s">
        <v>37</v>
      </c>
    </row>
    <row r="14" spans="1:3" x14ac:dyDescent="0.25">
      <c r="C14" t="s">
        <v>30</v>
      </c>
    </row>
    <row r="20" spans="1:3" x14ac:dyDescent="0.25">
      <c r="A20" s="24" t="s">
        <v>31</v>
      </c>
    </row>
    <row r="21" spans="1:3" x14ac:dyDescent="0.25">
      <c r="B21" t="s">
        <v>32</v>
      </c>
    </row>
    <row r="22" spans="1:3" x14ac:dyDescent="0.25">
      <c r="B22" t="s">
        <v>33</v>
      </c>
    </row>
    <row r="23" spans="1:3" x14ac:dyDescent="0.25">
      <c r="B23" t="s">
        <v>34</v>
      </c>
    </row>
    <row r="24" spans="1:3" x14ac:dyDescent="0.25">
      <c r="C24" t="s">
        <v>35</v>
      </c>
    </row>
    <row r="26" spans="1:3" x14ac:dyDescent="0.25">
      <c r="A26" s="24" t="s">
        <v>36</v>
      </c>
    </row>
    <row r="27" spans="1:3" x14ac:dyDescent="0.25">
      <c r="B27" t="s">
        <v>38</v>
      </c>
    </row>
    <row r="28" spans="1:3" x14ac:dyDescent="0.25">
      <c r="C28" t="s">
        <v>41</v>
      </c>
    </row>
    <row r="29" spans="1:3" x14ac:dyDescent="0.25">
      <c r="C29" t="s">
        <v>39</v>
      </c>
    </row>
    <row r="30" spans="1:3" x14ac:dyDescent="0.25">
      <c r="C30" t="s">
        <v>40</v>
      </c>
    </row>
    <row r="32" spans="1:3" x14ac:dyDescent="0.25">
      <c r="A32" t="s">
        <v>42</v>
      </c>
      <c r="B32" t="s">
        <v>48</v>
      </c>
    </row>
    <row r="33" spans="1:3" x14ac:dyDescent="0.25">
      <c r="B33" t="s">
        <v>46</v>
      </c>
    </row>
    <row r="34" spans="1:3" x14ac:dyDescent="0.25">
      <c r="C34" t="s">
        <v>47</v>
      </c>
    </row>
    <row r="36" spans="1:3" x14ac:dyDescent="0.25">
      <c r="A36" t="s">
        <v>43</v>
      </c>
    </row>
    <row r="37" spans="1:3" x14ac:dyDescent="0.25">
      <c r="B37" t="s">
        <v>32</v>
      </c>
    </row>
    <row r="38" spans="1:3" x14ac:dyDescent="0.25">
      <c r="B38" t="s">
        <v>44</v>
      </c>
    </row>
    <row r="39" spans="1:3" x14ac:dyDescent="0.25">
      <c r="B39" t="s">
        <v>45</v>
      </c>
    </row>
    <row r="41" spans="1:3" x14ac:dyDescent="0.25">
      <c r="A41" t="s">
        <v>49</v>
      </c>
    </row>
    <row r="42" spans="1:3" x14ac:dyDescent="0.25">
      <c r="B42" t="s">
        <v>50</v>
      </c>
    </row>
  </sheetData>
  <hyperlinks>
    <hyperlink ref="B2" r:id="rId1" xr:uid="{4E24A639-A09B-4E1B-889A-D22C6A08D254}"/>
    <hyperlink ref="B5" r:id="rId2" xr:uid="{D551F36A-6588-4D9E-9BAC-9D96EDEF435B}"/>
  </hyperlinks>
  <pageMargins left="0.7" right="0.7" top="0.75" bottom="0.75" header="0.3" footer="0.3"/>
  <drawing r:id="rId3"/>
  <legacyDrawing r:id="rId4"/>
  <oleObjects>
    <mc:AlternateContent xmlns:mc="http://schemas.openxmlformats.org/markup-compatibility/2006">
      <mc:Choice Requires="x14">
        <oleObject shapeId="1025" r:id="rId5">
          <objectPr defaultSize="0" autoPict="0" r:id="rId6">
            <anchor moveWithCells="1">
              <from>
                <xdr:col>1</xdr:col>
                <xdr:colOff>581025</xdr:colOff>
                <xdr:row>14</xdr:row>
                <xdr:rowOff>95250</xdr:rowOff>
              </from>
              <to>
                <xdr:col>8</xdr:col>
                <xdr:colOff>571500</xdr:colOff>
                <xdr:row>18</xdr:row>
                <xdr:rowOff>0</xdr:rowOff>
              </to>
            </anchor>
          </objectPr>
        </oleObject>
      </mc:Choice>
      <mc:Fallback>
        <oleObject shapeId="1025" r:id="rId5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3C156-3401-418E-AB51-F43206036973}">
  <dimension ref="B2:G59"/>
  <sheetViews>
    <sheetView workbookViewId="0">
      <selection activeCell="G11" sqref="G11"/>
    </sheetView>
  </sheetViews>
  <sheetFormatPr defaultRowHeight="15" x14ac:dyDescent="0.25"/>
  <cols>
    <col min="2" max="7" width="15.7109375" customWidth="1"/>
  </cols>
  <sheetData>
    <row r="2" spans="2:7" x14ac:dyDescent="0.25">
      <c r="B2" s="12" t="s">
        <v>2</v>
      </c>
      <c r="C2" s="5">
        <v>20000</v>
      </c>
      <c r="E2" s="14" t="s">
        <v>14</v>
      </c>
      <c r="F2" s="13">
        <v>2108.12</v>
      </c>
    </row>
    <row r="3" spans="2:7" x14ac:dyDescent="0.25">
      <c r="B3" s="12" t="s">
        <v>3</v>
      </c>
      <c r="C3" s="7">
        <v>0.05</v>
      </c>
      <c r="E3" s="14" t="s">
        <v>15</v>
      </c>
      <c r="F3" s="13">
        <f>SUM(D11:D58)</f>
        <v>2108.1218278206497</v>
      </c>
    </row>
    <row r="4" spans="2:7" x14ac:dyDescent="0.25">
      <c r="B4" s="12" t="s">
        <v>4</v>
      </c>
      <c r="C4" s="6">
        <f>C3/12</f>
        <v>4.1666666666666666E-3</v>
      </c>
      <c r="E4" s="14" t="s">
        <v>16</v>
      </c>
      <c r="F4" s="13">
        <f>F2-F3</f>
        <v>-1.8278206498507643E-3</v>
      </c>
    </row>
    <row r="5" spans="2:7" x14ac:dyDescent="0.25">
      <c r="B5" s="12" t="s">
        <v>5</v>
      </c>
      <c r="C5" s="4">
        <v>4</v>
      </c>
      <c r="E5" s="14" t="s">
        <v>20</v>
      </c>
      <c r="F5" s="17">
        <f>COUNTIF(C11:C58,"&gt;0")</f>
        <v>48</v>
      </c>
    </row>
    <row r="6" spans="2:7" x14ac:dyDescent="0.25">
      <c r="B6" s="12" t="s">
        <v>6</v>
      </c>
      <c r="C6" s="3">
        <f>C5*12</f>
        <v>48</v>
      </c>
    </row>
    <row r="7" spans="2:7" x14ac:dyDescent="0.25">
      <c r="B7" s="12" t="s">
        <v>7</v>
      </c>
      <c r="C7" s="8">
        <f>-PMT(C4,C6,C2)</f>
        <v>460.58587141293037</v>
      </c>
    </row>
    <row r="9" spans="2:7" x14ac:dyDescent="0.25">
      <c r="B9" s="11" t="s">
        <v>8</v>
      </c>
      <c r="C9" s="11" t="s">
        <v>9</v>
      </c>
      <c r="D9" s="11" t="s">
        <v>10</v>
      </c>
      <c r="E9" s="11" t="s">
        <v>11</v>
      </c>
      <c r="F9" s="11" t="s">
        <v>12</v>
      </c>
      <c r="G9" s="11" t="s">
        <v>13</v>
      </c>
    </row>
    <row r="10" spans="2:7" x14ac:dyDescent="0.25">
      <c r="B10" s="10">
        <v>0</v>
      </c>
      <c r="C10" s="16"/>
      <c r="D10" s="16"/>
      <c r="E10" s="16"/>
      <c r="F10" s="16"/>
      <c r="G10" s="16">
        <f>C2</f>
        <v>20000</v>
      </c>
    </row>
    <row r="11" spans="2:7" x14ac:dyDescent="0.25">
      <c r="B11" s="10">
        <v>1</v>
      </c>
      <c r="C11" s="16">
        <f>$C$7</f>
        <v>460.58587141293037</v>
      </c>
      <c r="D11" s="16">
        <f>G10*$C$4</f>
        <v>83.333333333333329</v>
      </c>
      <c r="E11" s="16">
        <f>C11-D11</f>
        <v>377.25253807959706</v>
      </c>
      <c r="F11" s="16"/>
      <c r="G11" s="16">
        <f>G10-F11-E11</f>
        <v>19622.747461920404</v>
      </c>
    </row>
    <row r="12" spans="2:7" x14ac:dyDescent="0.25">
      <c r="B12" s="10">
        <v>2</v>
      </c>
      <c r="C12" s="16">
        <f t="shared" ref="C12:C24" si="0">$C$7</f>
        <v>460.58587141293037</v>
      </c>
      <c r="D12" s="16">
        <f t="shared" ref="D12:D58" si="1">G11*$C$4</f>
        <v>81.76144775800168</v>
      </c>
      <c r="E12" s="16">
        <f t="shared" ref="E12:E58" si="2">C12-D12</f>
        <v>378.82442365492869</v>
      </c>
      <c r="F12" s="16"/>
      <c r="G12" s="16">
        <f t="shared" ref="G12:G58" si="3">G11-F12-E12</f>
        <v>19243.923038265475</v>
      </c>
    </row>
    <row r="13" spans="2:7" x14ac:dyDescent="0.25">
      <c r="B13" s="10">
        <v>3</v>
      </c>
      <c r="C13" s="16">
        <f t="shared" si="0"/>
        <v>460.58587141293037</v>
      </c>
      <c r="D13" s="16">
        <f t="shared" si="1"/>
        <v>80.183012659439484</v>
      </c>
      <c r="E13" s="16">
        <f t="shared" si="2"/>
        <v>380.40285875349088</v>
      </c>
      <c r="F13" s="16"/>
      <c r="G13" s="16">
        <f t="shared" si="3"/>
        <v>18863.520179511983</v>
      </c>
    </row>
    <row r="14" spans="2:7" x14ac:dyDescent="0.25">
      <c r="B14" s="10">
        <v>4</v>
      </c>
      <c r="C14" s="16">
        <f t="shared" si="0"/>
        <v>460.58587141293037</v>
      </c>
      <c r="D14" s="16">
        <f t="shared" si="1"/>
        <v>78.598000747966594</v>
      </c>
      <c r="E14" s="16">
        <f t="shared" si="2"/>
        <v>381.98787066496379</v>
      </c>
      <c r="F14" s="16"/>
      <c r="G14" s="16">
        <f t="shared" si="3"/>
        <v>18481.532308847018</v>
      </c>
    </row>
    <row r="15" spans="2:7" x14ac:dyDescent="0.25">
      <c r="B15" s="10">
        <v>5</v>
      </c>
      <c r="C15" s="16">
        <f t="shared" si="0"/>
        <v>460.58587141293037</v>
      </c>
      <c r="D15" s="16">
        <f t="shared" si="1"/>
        <v>77.006384620195902</v>
      </c>
      <c r="E15" s="16">
        <f t="shared" si="2"/>
        <v>383.57948679273449</v>
      </c>
      <c r="F15" s="16"/>
      <c r="G15" s="16">
        <f t="shared" si="3"/>
        <v>18097.952822054282</v>
      </c>
    </row>
    <row r="16" spans="2:7" x14ac:dyDescent="0.25">
      <c r="B16" s="10">
        <v>6</v>
      </c>
      <c r="C16" s="16">
        <f t="shared" si="0"/>
        <v>460.58587141293037</v>
      </c>
      <c r="D16" s="16">
        <f t="shared" si="1"/>
        <v>75.408136758559507</v>
      </c>
      <c r="E16" s="16">
        <f t="shared" si="2"/>
        <v>385.17773465437085</v>
      </c>
      <c r="F16" s="16"/>
      <c r="G16" s="16">
        <f t="shared" si="3"/>
        <v>17712.77508739991</v>
      </c>
    </row>
    <row r="17" spans="2:7" x14ac:dyDescent="0.25">
      <c r="B17" s="10">
        <v>7</v>
      </c>
      <c r="C17" s="16">
        <f t="shared" si="0"/>
        <v>460.58587141293037</v>
      </c>
      <c r="D17" s="16">
        <f t="shared" si="1"/>
        <v>73.803229530832965</v>
      </c>
      <c r="E17" s="16">
        <f t="shared" si="2"/>
        <v>386.78264188209744</v>
      </c>
      <c r="F17" s="16"/>
      <c r="G17" s="16">
        <f t="shared" si="3"/>
        <v>17325.992445517812</v>
      </c>
    </row>
    <row r="18" spans="2:7" x14ac:dyDescent="0.25">
      <c r="B18" s="10">
        <v>8</v>
      </c>
      <c r="C18" s="16">
        <f t="shared" si="0"/>
        <v>460.58587141293037</v>
      </c>
      <c r="D18" s="16">
        <f t="shared" si="1"/>
        <v>72.191635189657546</v>
      </c>
      <c r="E18" s="16">
        <f t="shared" si="2"/>
        <v>388.39423622327286</v>
      </c>
      <c r="F18" s="16"/>
      <c r="G18" s="16">
        <f t="shared" si="3"/>
        <v>16937.598209294538</v>
      </c>
    </row>
    <row r="19" spans="2:7" x14ac:dyDescent="0.25">
      <c r="B19" s="10">
        <v>9</v>
      </c>
      <c r="C19" s="16">
        <f t="shared" si="0"/>
        <v>460.58587141293037</v>
      </c>
      <c r="D19" s="16">
        <f t="shared" si="1"/>
        <v>70.573325872060579</v>
      </c>
      <c r="E19" s="16">
        <f t="shared" si="2"/>
        <v>390.01254554086978</v>
      </c>
      <c r="F19" s="16"/>
      <c r="G19" s="16">
        <f t="shared" si="3"/>
        <v>16547.585663753667</v>
      </c>
    </row>
    <row r="20" spans="2:7" x14ac:dyDescent="0.25">
      <c r="B20" s="10">
        <v>10</v>
      </c>
      <c r="C20" s="16">
        <f t="shared" si="0"/>
        <v>460.58587141293037</v>
      </c>
      <c r="D20" s="16">
        <f t="shared" si="1"/>
        <v>68.948273598973614</v>
      </c>
      <c r="E20" s="16">
        <f t="shared" si="2"/>
        <v>391.63759781395675</v>
      </c>
      <c r="F20" s="16"/>
      <c r="G20" s="16">
        <f t="shared" si="3"/>
        <v>16155.94806593971</v>
      </c>
    </row>
    <row r="21" spans="2:7" x14ac:dyDescent="0.25">
      <c r="B21" s="10">
        <v>11</v>
      </c>
      <c r="C21" s="16">
        <f t="shared" si="0"/>
        <v>460.58587141293037</v>
      </c>
      <c r="D21" s="16">
        <f t="shared" si="1"/>
        <v>67.316450274748789</v>
      </c>
      <c r="E21" s="16">
        <f t="shared" si="2"/>
        <v>393.2694211381816</v>
      </c>
      <c r="F21" s="16"/>
      <c r="G21" s="16">
        <f t="shared" si="3"/>
        <v>15762.678644801528</v>
      </c>
    </row>
    <row r="22" spans="2:7" x14ac:dyDescent="0.25">
      <c r="B22" s="10">
        <v>12</v>
      </c>
      <c r="C22" s="16">
        <f t="shared" si="0"/>
        <v>460.58587141293037</v>
      </c>
      <c r="D22" s="16">
        <f t="shared" si="1"/>
        <v>65.677827686673027</v>
      </c>
      <c r="E22" s="16">
        <f t="shared" si="2"/>
        <v>394.90804372625735</v>
      </c>
      <c r="F22" s="16"/>
      <c r="G22" s="16">
        <f t="shared" si="3"/>
        <v>15367.77060107527</v>
      </c>
    </row>
    <row r="23" spans="2:7" x14ac:dyDescent="0.25">
      <c r="B23" s="10">
        <v>13</v>
      </c>
      <c r="C23" s="16">
        <f t="shared" si="0"/>
        <v>460.58587141293037</v>
      </c>
      <c r="D23" s="16">
        <f t="shared" si="1"/>
        <v>64.032377504480294</v>
      </c>
      <c r="E23" s="16">
        <f t="shared" si="2"/>
        <v>396.55349390845009</v>
      </c>
      <c r="F23" s="16"/>
      <c r="G23" s="16">
        <f t="shared" si="3"/>
        <v>14971.21710716682</v>
      </c>
    </row>
    <row r="24" spans="2:7" x14ac:dyDescent="0.25">
      <c r="B24" s="10">
        <v>14</v>
      </c>
      <c r="C24" s="16">
        <f t="shared" si="0"/>
        <v>460.58587141293037</v>
      </c>
      <c r="D24" s="16">
        <f t="shared" si="1"/>
        <v>62.380071279861745</v>
      </c>
      <c r="E24" s="16">
        <f t="shared" si="2"/>
        <v>398.20580013306864</v>
      </c>
      <c r="F24" s="16"/>
      <c r="G24" s="16">
        <f t="shared" si="3"/>
        <v>14573.011307033752</v>
      </c>
    </row>
    <row r="25" spans="2:7" x14ac:dyDescent="0.25">
      <c r="B25" s="10">
        <v>15</v>
      </c>
      <c r="C25" s="16">
        <f>IF(G24&lt;$C$7,G24*(1+$C$4),$C$7)</f>
        <v>460.58587141293037</v>
      </c>
      <c r="D25" s="16">
        <f t="shared" si="1"/>
        <v>60.720880445973968</v>
      </c>
      <c r="E25" s="16">
        <f t="shared" si="2"/>
        <v>399.86499096695638</v>
      </c>
      <c r="F25" s="16"/>
      <c r="G25" s="16">
        <f t="shared" si="3"/>
        <v>14173.146316066795</v>
      </c>
    </row>
    <row r="26" spans="2:7" x14ac:dyDescent="0.25">
      <c r="B26" s="10">
        <v>16</v>
      </c>
      <c r="C26" s="16">
        <f t="shared" ref="C26:C58" si="4">IF(G25&lt;$C$7,G25*(1+$C$4),$C$7)</f>
        <v>460.58587141293037</v>
      </c>
      <c r="D26" s="16">
        <f t="shared" si="1"/>
        <v>59.054776316944981</v>
      </c>
      <c r="E26" s="16">
        <f t="shared" si="2"/>
        <v>401.53109509598539</v>
      </c>
      <c r="F26" s="16"/>
      <c r="G26" s="16">
        <f t="shared" si="3"/>
        <v>13771.615220970811</v>
      </c>
    </row>
    <row r="27" spans="2:7" x14ac:dyDescent="0.25">
      <c r="B27" s="10">
        <v>17</v>
      </c>
      <c r="C27" s="16">
        <f t="shared" si="4"/>
        <v>460.58587141293037</v>
      </c>
      <c r="D27" s="16">
        <f t="shared" si="1"/>
        <v>57.381730087378379</v>
      </c>
      <c r="E27" s="16">
        <f t="shared" si="2"/>
        <v>403.20414132555197</v>
      </c>
      <c r="F27" s="16"/>
      <c r="G27" s="16">
        <f t="shared" si="3"/>
        <v>13368.411079645259</v>
      </c>
    </row>
    <row r="28" spans="2:7" x14ac:dyDescent="0.25">
      <c r="B28" s="10">
        <v>18</v>
      </c>
      <c r="C28" s="16">
        <f t="shared" si="4"/>
        <v>460.58587141293037</v>
      </c>
      <c r="D28" s="16">
        <f t="shared" si="1"/>
        <v>55.701712831855247</v>
      </c>
      <c r="E28" s="16">
        <f t="shared" si="2"/>
        <v>404.8841585810751</v>
      </c>
      <c r="F28" s="16"/>
      <c r="G28" s="16">
        <f t="shared" si="3"/>
        <v>12963.526921064184</v>
      </c>
    </row>
    <row r="29" spans="2:7" x14ac:dyDescent="0.25">
      <c r="B29" s="10">
        <v>19</v>
      </c>
      <c r="C29" s="16">
        <f t="shared" si="4"/>
        <v>460.58587141293037</v>
      </c>
      <c r="D29" s="16">
        <f t="shared" si="1"/>
        <v>54.014695504434094</v>
      </c>
      <c r="E29" s="16">
        <f t="shared" si="2"/>
        <v>406.57117590849629</v>
      </c>
      <c r="F29" s="16"/>
      <c r="G29" s="16">
        <f t="shared" si="3"/>
        <v>12556.955745155687</v>
      </c>
    </row>
    <row r="30" spans="2:7" x14ac:dyDescent="0.25">
      <c r="B30" s="10">
        <v>20</v>
      </c>
      <c r="C30" s="16">
        <f t="shared" si="4"/>
        <v>460.58587141293037</v>
      </c>
      <c r="D30" s="16">
        <f t="shared" si="1"/>
        <v>52.320648938148693</v>
      </c>
      <c r="E30" s="16">
        <f t="shared" si="2"/>
        <v>408.26522247478169</v>
      </c>
      <c r="F30" s="16"/>
      <c r="G30" s="16">
        <f t="shared" si="3"/>
        <v>12148.690522680905</v>
      </c>
    </row>
    <row r="31" spans="2:7" x14ac:dyDescent="0.25">
      <c r="B31" s="10">
        <v>21</v>
      </c>
      <c r="C31" s="16">
        <f t="shared" si="4"/>
        <v>460.58587141293037</v>
      </c>
      <c r="D31" s="16">
        <f t="shared" si="1"/>
        <v>50.619543844503767</v>
      </c>
      <c r="E31" s="16">
        <f t="shared" si="2"/>
        <v>409.96632756842661</v>
      </c>
      <c r="F31" s="16"/>
      <c r="G31" s="16">
        <f t="shared" si="3"/>
        <v>11738.724195112478</v>
      </c>
    </row>
    <row r="32" spans="2:7" x14ac:dyDescent="0.25">
      <c r="B32" s="10">
        <v>22</v>
      </c>
      <c r="C32" s="16">
        <f t="shared" si="4"/>
        <v>460.58587141293037</v>
      </c>
      <c r="D32" s="16">
        <f t="shared" si="1"/>
        <v>48.911350812968656</v>
      </c>
      <c r="E32" s="16">
        <f t="shared" si="2"/>
        <v>411.67452059996174</v>
      </c>
      <c r="F32" s="16"/>
      <c r="G32" s="16">
        <f t="shared" si="3"/>
        <v>11327.049674512517</v>
      </c>
    </row>
    <row r="33" spans="2:7" x14ac:dyDescent="0.25">
      <c r="B33" s="10">
        <v>23</v>
      </c>
      <c r="C33" s="16">
        <f t="shared" si="4"/>
        <v>460.58587141293037</v>
      </c>
      <c r="D33" s="16">
        <f t="shared" si="1"/>
        <v>47.196040310468817</v>
      </c>
      <c r="E33" s="16">
        <f t="shared" si="2"/>
        <v>413.38983110246159</v>
      </c>
      <c r="F33" s="16"/>
      <c r="G33" s="16">
        <f t="shared" si="3"/>
        <v>10913.659843410054</v>
      </c>
    </row>
    <row r="34" spans="2:7" x14ac:dyDescent="0.25">
      <c r="B34" s="10">
        <v>24</v>
      </c>
      <c r="C34" s="16">
        <f t="shared" si="4"/>
        <v>460.58587141293037</v>
      </c>
      <c r="D34" s="16">
        <f t="shared" si="1"/>
        <v>45.473582680875225</v>
      </c>
      <c r="E34" s="16">
        <f t="shared" si="2"/>
        <v>415.11228873205516</v>
      </c>
      <c r="F34" s="16"/>
      <c r="G34" s="16">
        <f t="shared" si="3"/>
        <v>10498.547554678</v>
      </c>
    </row>
    <row r="35" spans="2:7" x14ac:dyDescent="0.25">
      <c r="B35" s="10">
        <v>25</v>
      </c>
      <c r="C35" s="16">
        <f t="shared" si="4"/>
        <v>460.58587141293037</v>
      </c>
      <c r="D35" s="16">
        <f t="shared" si="1"/>
        <v>43.743948144491668</v>
      </c>
      <c r="E35" s="16">
        <f t="shared" si="2"/>
        <v>416.84192326843868</v>
      </c>
      <c r="F35" s="16"/>
      <c r="G35" s="16">
        <f t="shared" si="3"/>
        <v>10081.705631409561</v>
      </c>
    </row>
    <row r="36" spans="2:7" x14ac:dyDescent="0.25">
      <c r="B36" s="10">
        <v>26</v>
      </c>
      <c r="C36" s="16">
        <f t="shared" si="4"/>
        <v>460.58587141293037</v>
      </c>
      <c r="D36" s="16">
        <f t="shared" si="1"/>
        <v>42.007106797539834</v>
      </c>
      <c r="E36" s="16">
        <f t="shared" si="2"/>
        <v>418.57876461539053</v>
      </c>
      <c r="F36" s="16"/>
      <c r="G36" s="16">
        <f t="shared" si="3"/>
        <v>9663.1268667941695</v>
      </c>
    </row>
    <row r="37" spans="2:7" x14ac:dyDescent="0.25">
      <c r="B37" s="10">
        <v>27</v>
      </c>
      <c r="C37" s="16">
        <f t="shared" si="4"/>
        <v>460.58587141293037</v>
      </c>
      <c r="D37" s="16">
        <f t="shared" si="1"/>
        <v>40.263028611642369</v>
      </c>
      <c r="E37" s="16">
        <f t="shared" si="2"/>
        <v>420.322842801288</v>
      </c>
      <c r="F37" s="16"/>
      <c r="G37" s="16">
        <f t="shared" si="3"/>
        <v>9242.8040239928814</v>
      </c>
    </row>
    <row r="38" spans="2:7" x14ac:dyDescent="0.25">
      <c r="B38" s="10">
        <v>28</v>
      </c>
      <c r="C38" s="16">
        <f t="shared" si="4"/>
        <v>460.58587141293037</v>
      </c>
      <c r="D38" s="16">
        <f t="shared" si="1"/>
        <v>38.511683433303673</v>
      </c>
      <c r="E38" s="16">
        <f t="shared" si="2"/>
        <v>422.07418797962669</v>
      </c>
      <c r="F38" s="16"/>
      <c r="G38" s="16">
        <f t="shared" si="3"/>
        <v>8820.7298360132554</v>
      </c>
    </row>
    <row r="39" spans="2:7" x14ac:dyDescent="0.25">
      <c r="B39" s="10">
        <v>29</v>
      </c>
      <c r="C39" s="16">
        <f t="shared" si="4"/>
        <v>460.58587141293037</v>
      </c>
      <c r="D39" s="16">
        <f t="shared" si="1"/>
        <v>36.753040983388566</v>
      </c>
      <c r="E39" s="16">
        <f t="shared" si="2"/>
        <v>423.83283042954179</v>
      </c>
      <c r="F39" s="16"/>
      <c r="G39" s="16">
        <f t="shared" si="3"/>
        <v>8396.8970055837144</v>
      </c>
    </row>
    <row r="40" spans="2:7" x14ac:dyDescent="0.25">
      <c r="B40" s="10">
        <v>30</v>
      </c>
      <c r="C40" s="16">
        <f t="shared" si="4"/>
        <v>460.58587141293037</v>
      </c>
      <c r="D40" s="16">
        <f t="shared" si="1"/>
        <v>34.987070856598812</v>
      </c>
      <c r="E40" s="16">
        <f t="shared" si="2"/>
        <v>425.59880055633158</v>
      </c>
      <c r="F40" s="16"/>
      <c r="G40" s="16">
        <f t="shared" si="3"/>
        <v>7971.2982050273831</v>
      </c>
    </row>
    <row r="41" spans="2:7" x14ac:dyDescent="0.25">
      <c r="B41" s="10">
        <v>31</v>
      </c>
      <c r="C41" s="16">
        <f t="shared" si="4"/>
        <v>460.58587141293037</v>
      </c>
      <c r="D41" s="16">
        <f t="shared" si="1"/>
        <v>33.213742520947427</v>
      </c>
      <c r="E41" s="16">
        <f t="shared" si="2"/>
        <v>427.37212889198292</v>
      </c>
      <c r="F41" s="16"/>
      <c r="G41" s="16">
        <f t="shared" si="3"/>
        <v>7543.9260761353999</v>
      </c>
    </row>
    <row r="42" spans="2:7" x14ac:dyDescent="0.25">
      <c r="B42" s="10">
        <v>32</v>
      </c>
      <c r="C42" s="16">
        <f t="shared" si="4"/>
        <v>460.58587141293037</v>
      </c>
      <c r="D42" s="16">
        <f t="shared" si="1"/>
        <v>31.433025317230832</v>
      </c>
      <c r="E42" s="16">
        <f t="shared" si="2"/>
        <v>429.15284609569954</v>
      </c>
      <c r="F42" s="16"/>
      <c r="G42" s="16">
        <f t="shared" si="3"/>
        <v>7114.7732300397001</v>
      </c>
    </row>
    <row r="43" spans="2:7" x14ac:dyDescent="0.25">
      <c r="B43" s="10">
        <v>33</v>
      </c>
      <c r="C43" s="16">
        <f t="shared" si="4"/>
        <v>460.58587141293037</v>
      </c>
      <c r="D43" s="16">
        <f t="shared" si="1"/>
        <v>29.644888458498752</v>
      </c>
      <c r="E43" s="16">
        <f t="shared" si="2"/>
        <v>430.9409829544316</v>
      </c>
      <c r="F43" s="16"/>
      <c r="G43" s="16">
        <f t="shared" si="3"/>
        <v>6683.8322470852681</v>
      </c>
    </row>
    <row r="44" spans="2:7" x14ac:dyDescent="0.25">
      <c r="B44" s="10">
        <v>34</v>
      </c>
      <c r="C44" s="16">
        <f t="shared" si="4"/>
        <v>460.58587141293037</v>
      </c>
      <c r="D44" s="16">
        <f t="shared" si="1"/>
        <v>27.84930102952195</v>
      </c>
      <c r="E44" s="16">
        <f t="shared" si="2"/>
        <v>432.73657038340843</v>
      </c>
      <c r="F44" s="16"/>
      <c r="G44" s="16">
        <f t="shared" si="3"/>
        <v>6251.0956767018597</v>
      </c>
    </row>
    <row r="45" spans="2:7" x14ac:dyDescent="0.25">
      <c r="B45" s="10">
        <v>35</v>
      </c>
      <c r="C45" s="16">
        <f t="shared" si="4"/>
        <v>460.58587141293037</v>
      </c>
      <c r="D45" s="16">
        <f t="shared" si="1"/>
        <v>26.046231986257748</v>
      </c>
      <c r="E45" s="16">
        <f t="shared" si="2"/>
        <v>434.53963942667264</v>
      </c>
      <c r="F45" s="16"/>
      <c r="G45" s="16">
        <f t="shared" si="3"/>
        <v>5816.556037275187</v>
      </c>
    </row>
    <row r="46" spans="2:7" x14ac:dyDescent="0.25">
      <c r="B46" s="10">
        <v>36</v>
      </c>
      <c r="C46" s="16">
        <f t="shared" si="4"/>
        <v>460.58587141293037</v>
      </c>
      <c r="D46" s="16">
        <f t="shared" si="1"/>
        <v>24.23565015531328</v>
      </c>
      <c r="E46" s="16">
        <f t="shared" si="2"/>
        <v>436.35022125761708</v>
      </c>
      <c r="F46" s="16"/>
      <c r="G46" s="16">
        <f t="shared" si="3"/>
        <v>5380.2058160175702</v>
      </c>
    </row>
    <row r="47" spans="2:7" x14ac:dyDescent="0.25">
      <c r="B47" s="10">
        <v>37</v>
      </c>
      <c r="C47" s="16">
        <f t="shared" si="4"/>
        <v>460.58587141293037</v>
      </c>
      <c r="D47" s="16">
        <f t="shared" si="1"/>
        <v>22.417524233406542</v>
      </c>
      <c r="E47" s="16">
        <f t="shared" si="2"/>
        <v>438.16834717952383</v>
      </c>
      <c r="F47" s="16"/>
      <c r="G47" s="16">
        <f t="shared" si="3"/>
        <v>4942.0374688380462</v>
      </c>
    </row>
    <row r="48" spans="2:7" x14ac:dyDescent="0.25">
      <c r="B48" s="10">
        <v>38</v>
      </c>
      <c r="C48" s="16">
        <f t="shared" si="4"/>
        <v>460.58587141293037</v>
      </c>
      <c r="D48" s="16">
        <f t="shared" si="1"/>
        <v>20.59182278682519</v>
      </c>
      <c r="E48" s="16">
        <f t="shared" si="2"/>
        <v>439.99404862610515</v>
      </c>
      <c r="F48" s="16"/>
      <c r="G48" s="16">
        <f t="shared" si="3"/>
        <v>4502.0434202119413</v>
      </c>
    </row>
    <row r="49" spans="2:7" x14ac:dyDescent="0.25">
      <c r="B49" s="10">
        <v>39</v>
      </c>
      <c r="C49" s="16">
        <f t="shared" si="4"/>
        <v>460.58587141293037</v>
      </c>
      <c r="D49" s="16">
        <f t="shared" si="1"/>
        <v>18.758514250883088</v>
      </c>
      <c r="E49" s="16">
        <f t="shared" si="2"/>
        <v>441.82735716204729</v>
      </c>
      <c r="F49" s="16"/>
      <c r="G49" s="16">
        <f t="shared" si="3"/>
        <v>4060.2160630498938</v>
      </c>
    </row>
    <row r="50" spans="2:7" x14ac:dyDescent="0.25">
      <c r="B50" s="10">
        <v>40</v>
      </c>
      <c r="C50" s="16">
        <f t="shared" si="4"/>
        <v>460.58587141293037</v>
      </c>
      <c r="D50" s="16">
        <f t="shared" si="1"/>
        <v>16.917566929374559</v>
      </c>
      <c r="E50" s="16">
        <f t="shared" si="2"/>
        <v>443.6683044835558</v>
      </c>
      <c r="F50" s="16"/>
      <c r="G50" s="16">
        <f t="shared" si="3"/>
        <v>3616.547758566338</v>
      </c>
    </row>
    <row r="51" spans="2:7" x14ac:dyDescent="0.25">
      <c r="B51" s="10">
        <v>41</v>
      </c>
      <c r="C51" s="16">
        <f t="shared" si="4"/>
        <v>460.58587141293037</v>
      </c>
      <c r="D51" s="16">
        <f t="shared" si="1"/>
        <v>15.068948994026409</v>
      </c>
      <c r="E51" s="16">
        <f t="shared" si="2"/>
        <v>445.51692241890396</v>
      </c>
      <c r="F51" s="16"/>
      <c r="G51" s="16">
        <f t="shared" si="3"/>
        <v>3171.030836147434</v>
      </c>
    </row>
    <row r="52" spans="2:7" x14ac:dyDescent="0.25">
      <c r="B52" s="10">
        <v>42</v>
      </c>
      <c r="C52" s="16">
        <f t="shared" si="4"/>
        <v>460.58587141293037</v>
      </c>
      <c r="D52" s="16">
        <f t="shared" si="1"/>
        <v>13.212628483947642</v>
      </c>
      <c r="E52" s="16">
        <f t="shared" si="2"/>
        <v>447.37324292898273</v>
      </c>
      <c r="F52" s="16"/>
      <c r="G52" s="16">
        <f t="shared" si="3"/>
        <v>2723.6575932184514</v>
      </c>
    </row>
    <row r="53" spans="2:7" x14ac:dyDescent="0.25">
      <c r="B53" s="10">
        <v>43</v>
      </c>
      <c r="C53" s="16">
        <f t="shared" si="4"/>
        <v>460.58587141293037</v>
      </c>
      <c r="D53" s="16">
        <f t="shared" si="1"/>
        <v>11.348573305076881</v>
      </c>
      <c r="E53" s="16">
        <f t="shared" si="2"/>
        <v>449.23729810785352</v>
      </c>
      <c r="F53" s="16"/>
      <c r="G53" s="16">
        <f t="shared" si="3"/>
        <v>2274.4202951105981</v>
      </c>
    </row>
    <row r="54" spans="2:7" x14ac:dyDescent="0.25">
      <c r="B54" s="10">
        <v>44</v>
      </c>
      <c r="C54" s="16">
        <f t="shared" si="4"/>
        <v>460.58587141293037</v>
      </c>
      <c r="D54" s="16">
        <f t="shared" si="1"/>
        <v>9.4767512296274923</v>
      </c>
      <c r="E54" s="16">
        <f t="shared" si="2"/>
        <v>451.10912018330288</v>
      </c>
      <c r="F54" s="16"/>
      <c r="G54" s="16">
        <f t="shared" si="3"/>
        <v>1823.3111749272953</v>
      </c>
    </row>
    <row r="55" spans="2:7" x14ac:dyDescent="0.25">
      <c r="B55" s="10">
        <v>45</v>
      </c>
      <c r="C55" s="16">
        <f t="shared" si="4"/>
        <v>460.58587141293037</v>
      </c>
      <c r="D55" s="16">
        <f t="shared" si="1"/>
        <v>7.5971298955303972</v>
      </c>
      <c r="E55" s="16">
        <f t="shared" si="2"/>
        <v>452.9887415174</v>
      </c>
      <c r="F55" s="16"/>
      <c r="G55" s="16">
        <f t="shared" si="3"/>
        <v>1370.3224334098952</v>
      </c>
    </row>
    <row r="56" spans="2:7" x14ac:dyDescent="0.25">
      <c r="B56" s="10">
        <v>46</v>
      </c>
      <c r="C56" s="16">
        <f t="shared" si="4"/>
        <v>460.58587141293037</v>
      </c>
      <c r="D56" s="16">
        <f t="shared" si="1"/>
        <v>5.7096768058745635</v>
      </c>
      <c r="E56" s="16">
        <f t="shared" si="2"/>
        <v>454.87619460705582</v>
      </c>
      <c r="F56" s="16"/>
      <c r="G56" s="16">
        <f t="shared" si="3"/>
        <v>915.44623880283939</v>
      </c>
    </row>
    <row r="57" spans="2:7" x14ac:dyDescent="0.25">
      <c r="B57" s="10">
        <v>47</v>
      </c>
      <c r="C57" s="16">
        <f t="shared" si="4"/>
        <v>460.58587141293037</v>
      </c>
      <c r="D57" s="16">
        <f t="shared" si="1"/>
        <v>3.814359328345164</v>
      </c>
      <c r="E57" s="16">
        <f t="shared" si="2"/>
        <v>456.7715120845852</v>
      </c>
      <c r="F57" s="16"/>
      <c r="G57" s="16">
        <f t="shared" si="3"/>
        <v>458.67472671825419</v>
      </c>
    </row>
    <row r="58" spans="2:7" x14ac:dyDescent="0.25">
      <c r="B58" s="10">
        <v>48</v>
      </c>
      <c r="C58" s="16">
        <f t="shared" si="4"/>
        <v>460.5858714129136</v>
      </c>
      <c r="D58" s="16">
        <f t="shared" si="1"/>
        <v>1.9111446946593924</v>
      </c>
      <c r="E58" s="16">
        <f t="shared" si="2"/>
        <v>458.67472671825419</v>
      </c>
      <c r="F58" s="16"/>
      <c r="G58" s="16">
        <f t="shared" si="3"/>
        <v>0</v>
      </c>
    </row>
    <row r="59" spans="2:7" x14ac:dyDescent="0.25">
      <c r="C59" s="9">
        <f>SUM(C11:C58)</f>
        <v>22108.121827820643</v>
      </c>
      <c r="D59" s="9"/>
      <c r="E59" s="9"/>
      <c r="F59" s="9"/>
      <c r="G59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C4707-2451-43FA-AB13-D82EF45DC0FA}">
  <dimension ref="B2:G59"/>
  <sheetViews>
    <sheetView workbookViewId="0">
      <selection activeCell="C56" sqref="C56"/>
    </sheetView>
  </sheetViews>
  <sheetFormatPr defaultRowHeight="15" x14ac:dyDescent="0.25"/>
  <cols>
    <col min="2" max="7" width="15.7109375" customWidth="1"/>
  </cols>
  <sheetData>
    <row r="2" spans="2:7" x14ac:dyDescent="0.25">
      <c r="B2" s="12" t="s">
        <v>2</v>
      </c>
      <c r="C2" s="5">
        <v>20000</v>
      </c>
      <c r="E2" s="14" t="s">
        <v>14</v>
      </c>
      <c r="F2" s="13">
        <v>2108.12</v>
      </c>
    </row>
    <row r="3" spans="2:7" x14ac:dyDescent="0.25">
      <c r="B3" s="12" t="s">
        <v>3</v>
      </c>
      <c r="C3" s="7">
        <v>0.05</v>
      </c>
      <c r="E3" s="14" t="s">
        <v>15</v>
      </c>
      <c r="F3" s="13">
        <f>SUM(D11:D58)</f>
        <v>1896.6358617935946</v>
      </c>
    </row>
    <row r="4" spans="2:7" x14ac:dyDescent="0.25">
      <c r="B4" s="12" t="s">
        <v>4</v>
      </c>
      <c r="C4" s="6">
        <f>C3/12</f>
        <v>4.1666666666666666E-3</v>
      </c>
      <c r="E4" s="14" t="s">
        <v>16</v>
      </c>
      <c r="F4" s="13">
        <f>F2-F3</f>
        <v>211.48413820640531</v>
      </c>
    </row>
    <row r="5" spans="2:7" x14ac:dyDescent="0.25">
      <c r="B5" s="12" t="s">
        <v>5</v>
      </c>
      <c r="C5" s="4">
        <v>4</v>
      </c>
      <c r="E5" s="14" t="s">
        <v>20</v>
      </c>
      <c r="F5" s="17">
        <f>COUNTIF(C11:C58,"&gt;0")</f>
        <v>46</v>
      </c>
    </row>
    <row r="6" spans="2:7" x14ac:dyDescent="0.25">
      <c r="B6" s="12" t="s">
        <v>6</v>
      </c>
      <c r="C6" s="3">
        <f>C5*12</f>
        <v>48</v>
      </c>
    </row>
    <row r="7" spans="2:7" x14ac:dyDescent="0.25">
      <c r="B7" s="12" t="s">
        <v>7</v>
      </c>
      <c r="C7" s="8">
        <f>-PMT(C4,C6,C2)</f>
        <v>460.58587141293037</v>
      </c>
    </row>
    <row r="9" spans="2:7" x14ac:dyDescent="0.25">
      <c r="B9" s="11" t="s">
        <v>8</v>
      </c>
      <c r="C9" s="11" t="s">
        <v>9</v>
      </c>
      <c r="D9" s="11" t="s">
        <v>10</v>
      </c>
      <c r="E9" s="11" t="s">
        <v>11</v>
      </c>
      <c r="F9" s="11" t="s">
        <v>12</v>
      </c>
      <c r="G9" s="11" t="s">
        <v>13</v>
      </c>
    </row>
    <row r="10" spans="2:7" x14ac:dyDescent="0.25">
      <c r="B10" s="10">
        <v>0</v>
      </c>
      <c r="C10" s="16"/>
      <c r="D10" s="16"/>
      <c r="E10" s="16"/>
      <c r="F10" s="16"/>
      <c r="G10" s="16">
        <f>C2</f>
        <v>20000</v>
      </c>
    </row>
    <row r="11" spans="2:7" x14ac:dyDescent="0.25">
      <c r="B11" s="10">
        <v>1</v>
      </c>
      <c r="C11" s="16">
        <f>$C$7</f>
        <v>460.58587141293037</v>
      </c>
      <c r="D11" s="16">
        <f>G10*$C$4</f>
        <v>83.333333333333329</v>
      </c>
      <c r="E11" s="16">
        <f>C11-D11</f>
        <v>377.25253807959706</v>
      </c>
      <c r="F11" s="16">
        <v>1000</v>
      </c>
      <c r="G11" s="16">
        <f>G10-F11-E11</f>
        <v>18622.747461920404</v>
      </c>
    </row>
    <row r="12" spans="2:7" x14ac:dyDescent="0.25">
      <c r="B12" s="10">
        <v>2</v>
      </c>
      <c r="C12" s="16">
        <f t="shared" ref="C12:C55" si="0">$C$7</f>
        <v>460.58587141293037</v>
      </c>
      <c r="D12" s="16">
        <f t="shared" ref="D12:D58" si="1">G11*$C$4</f>
        <v>77.594781091335022</v>
      </c>
      <c r="E12" s="16">
        <f t="shared" ref="E12:E58" si="2">C12-D12</f>
        <v>382.99109032159538</v>
      </c>
      <c r="F12" s="16">
        <v>0</v>
      </c>
      <c r="G12" s="16">
        <f t="shared" ref="G12:G58" si="3">G11-F12-E12</f>
        <v>18239.756371598807</v>
      </c>
    </row>
    <row r="13" spans="2:7" x14ac:dyDescent="0.25">
      <c r="B13" s="10">
        <v>3</v>
      </c>
      <c r="C13" s="16">
        <f t="shared" si="0"/>
        <v>460.58587141293037</v>
      </c>
      <c r="D13" s="16">
        <f t="shared" si="1"/>
        <v>75.998984881661698</v>
      </c>
      <c r="E13" s="16">
        <f t="shared" si="2"/>
        <v>384.58688653126865</v>
      </c>
      <c r="F13" s="16">
        <v>0</v>
      </c>
      <c r="G13" s="16">
        <f t="shared" si="3"/>
        <v>17855.169485067538</v>
      </c>
    </row>
    <row r="14" spans="2:7" x14ac:dyDescent="0.25">
      <c r="B14" s="10">
        <v>4</v>
      </c>
      <c r="C14" s="16">
        <f t="shared" si="0"/>
        <v>460.58587141293037</v>
      </c>
      <c r="D14" s="16">
        <f t="shared" si="1"/>
        <v>74.396539521114732</v>
      </c>
      <c r="E14" s="16">
        <f t="shared" si="2"/>
        <v>386.18933189181564</v>
      </c>
      <c r="F14" s="16">
        <v>0</v>
      </c>
      <c r="G14" s="16">
        <f t="shared" si="3"/>
        <v>17468.980153175722</v>
      </c>
    </row>
    <row r="15" spans="2:7" x14ac:dyDescent="0.25">
      <c r="B15" s="10">
        <v>5</v>
      </c>
      <c r="C15" s="16">
        <f t="shared" si="0"/>
        <v>460.58587141293037</v>
      </c>
      <c r="D15" s="16">
        <f t="shared" si="1"/>
        <v>72.787417304898838</v>
      </c>
      <c r="E15" s="16">
        <f t="shared" si="2"/>
        <v>387.79845410803154</v>
      </c>
      <c r="F15" s="16">
        <v>0</v>
      </c>
      <c r="G15" s="16">
        <f t="shared" si="3"/>
        <v>17081.181699067689</v>
      </c>
    </row>
    <row r="16" spans="2:7" x14ac:dyDescent="0.25">
      <c r="B16" s="10">
        <v>6</v>
      </c>
      <c r="C16" s="16">
        <f t="shared" si="0"/>
        <v>460.58587141293037</v>
      </c>
      <c r="D16" s="16">
        <f t="shared" si="1"/>
        <v>71.171590412782038</v>
      </c>
      <c r="E16" s="16">
        <f t="shared" si="2"/>
        <v>389.41428100014832</v>
      </c>
      <c r="F16" s="16">
        <v>0</v>
      </c>
      <c r="G16" s="16">
        <f t="shared" si="3"/>
        <v>16691.767418067542</v>
      </c>
    </row>
    <row r="17" spans="2:7" x14ac:dyDescent="0.25">
      <c r="B17" s="10">
        <v>7</v>
      </c>
      <c r="C17" s="16">
        <f t="shared" si="0"/>
        <v>460.58587141293037</v>
      </c>
      <c r="D17" s="16">
        <f t="shared" si="1"/>
        <v>69.549030908614753</v>
      </c>
      <c r="E17" s="16">
        <f t="shared" si="2"/>
        <v>391.03684050431559</v>
      </c>
      <c r="F17" s="16">
        <v>0</v>
      </c>
      <c r="G17" s="16">
        <f t="shared" si="3"/>
        <v>16300.730577563227</v>
      </c>
    </row>
    <row r="18" spans="2:7" x14ac:dyDescent="0.25">
      <c r="B18" s="10">
        <v>8</v>
      </c>
      <c r="C18" s="16">
        <f t="shared" si="0"/>
        <v>460.58587141293037</v>
      </c>
      <c r="D18" s="16">
        <f t="shared" si="1"/>
        <v>67.919710739846778</v>
      </c>
      <c r="E18" s="16">
        <f t="shared" si="2"/>
        <v>392.6661606730836</v>
      </c>
      <c r="F18" s="16">
        <v>0</v>
      </c>
      <c r="G18" s="16">
        <f t="shared" si="3"/>
        <v>15908.064416890144</v>
      </c>
    </row>
    <row r="19" spans="2:7" x14ac:dyDescent="0.25">
      <c r="B19" s="10">
        <v>9</v>
      </c>
      <c r="C19" s="16">
        <f t="shared" si="0"/>
        <v>460.58587141293037</v>
      </c>
      <c r="D19" s="16">
        <f t="shared" si="1"/>
        <v>66.283601737042261</v>
      </c>
      <c r="E19" s="16">
        <f t="shared" si="2"/>
        <v>394.30226967588811</v>
      </c>
      <c r="F19" s="16">
        <v>0</v>
      </c>
      <c r="G19" s="16">
        <f t="shared" si="3"/>
        <v>15513.762147214255</v>
      </c>
    </row>
    <row r="20" spans="2:7" x14ac:dyDescent="0.25">
      <c r="B20" s="10">
        <v>10</v>
      </c>
      <c r="C20" s="16">
        <f t="shared" si="0"/>
        <v>460.58587141293037</v>
      </c>
      <c r="D20" s="16">
        <f t="shared" si="1"/>
        <v>64.64067561339273</v>
      </c>
      <c r="E20" s="16">
        <f t="shared" si="2"/>
        <v>395.94519579953766</v>
      </c>
      <c r="F20" s="16">
        <v>0</v>
      </c>
      <c r="G20" s="16">
        <f t="shared" si="3"/>
        <v>15117.816951414718</v>
      </c>
    </row>
    <row r="21" spans="2:7" x14ac:dyDescent="0.25">
      <c r="B21" s="10">
        <v>11</v>
      </c>
      <c r="C21" s="16">
        <f t="shared" si="0"/>
        <v>460.58587141293037</v>
      </c>
      <c r="D21" s="16">
        <f t="shared" si="1"/>
        <v>62.990903964227989</v>
      </c>
      <c r="E21" s="16">
        <f t="shared" si="2"/>
        <v>397.59496744870239</v>
      </c>
      <c r="F21" s="16">
        <v>0</v>
      </c>
      <c r="G21" s="16">
        <f t="shared" si="3"/>
        <v>14720.221983966016</v>
      </c>
    </row>
    <row r="22" spans="2:7" x14ac:dyDescent="0.25">
      <c r="B22" s="10">
        <v>12</v>
      </c>
      <c r="C22" s="16">
        <f t="shared" si="0"/>
        <v>460.58587141293037</v>
      </c>
      <c r="D22" s="16">
        <f t="shared" si="1"/>
        <v>61.334258266525062</v>
      </c>
      <c r="E22" s="16">
        <f t="shared" si="2"/>
        <v>399.2516131464053</v>
      </c>
      <c r="F22" s="16">
        <v>0</v>
      </c>
      <c r="G22" s="16">
        <f t="shared" si="3"/>
        <v>14320.97037081961</v>
      </c>
    </row>
    <row r="23" spans="2:7" x14ac:dyDescent="0.25">
      <c r="B23" s="10">
        <v>13</v>
      </c>
      <c r="C23" s="16">
        <f t="shared" si="0"/>
        <v>460.58587141293037</v>
      </c>
      <c r="D23" s="16">
        <f t="shared" si="1"/>
        <v>59.670709878415039</v>
      </c>
      <c r="E23" s="16">
        <f t="shared" si="2"/>
        <v>400.91516153451533</v>
      </c>
      <c r="F23" s="16">
        <v>0</v>
      </c>
      <c r="G23" s="16">
        <f t="shared" si="3"/>
        <v>13920.055209285096</v>
      </c>
    </row>
    <row r="24" spans="2:7" x14ac:dyDescent="0.25">
      <c r="B24" s="10">
        <v>14</v>
      </c>
      <c r="C24" s="16">
        <f t="shared" si="0"/>
        <v>460.58587141293037</v>
      </c>
      <c r="D24" s="16">
        <f t="shared" si="1"/>
        <v>58.000230038687896</v>
      </c>
      <c r="E24" s="16">
        <f t="shared" si="2"/>
        <v>402.58564137424247</v>
      </c>
      <c r="F24" s="16">
        <v>0</v>
      </c>
      <c r="G24" s="16">
        <f t="shared" si="3"/>
        <v>13517.469567910854</v>
      </c>
    </row>
    <row r="25" spans="2:7" x14ac:dyDescent="0.25">
      <c r="B25" s="10">
        <v>15</v>
      </c>
      <c r="C25" s="16">
        <f t="shared" si="0"/>
        <v>460.58587141293037</v>
      </c>
      <c r="D25" s="16">
        <f t="shared" si="1"/>
        <v>56.322789866295224</v>
      </c>
      <c r="E25" s="16">
        <f t="shared" si="2"/>
        <v>404.26308154663514</v>
      </c>
      <c r="F25" s="16">
        <v>0</v>
      </c>
      <c r="G25" s="16">
        <f t="shared" si="3"/>
        <v>13113.206486364219</v>
      </c>
    </row>
    <row r="26" spans="2:7" x14ac:dyDescent="0.25">
      <c r="B26" s="10">
        <v>16</v>
      </c>
      <c r="C26" s="16">
        <f t="shared" si="0"/>
        <v>460.58587141293037</v>
      </c>
      <c r="D26" s="16">
        <f t="shared" si="1"/>
        <v>54.638360359850914</v>
      </c>
      <c r="E26" s="16">
        <f t="shared" si="2"/>
        <v>405.94751105307944</v>
      </c>
      <c r="F26" s="16">
        <v>0</v>
      </c>
      <c r="G26" s="16">
        <f t="shared" si="3"/>
        <v>12707.258975311139</v>
      </c>
    </row>
    <row r="27" spans="2:7" x14ac:dyDescent="0.25">
      <c r="B27" s="10">
        <v>17</v>
      </c>
      <c r="C27" s="16">
        <f t="shared" si="0"/>
        <v>460.58587141293037</v>
      </c>
      <c r="D27" s="16">
        <f t="shared" si="1"/>
        <v>52.946912397129744</v>
      </c>
      <c r="E27" s="16">
        <f t="shared" si="2"/>
        <v>407.63895901580065</v>
      </c>
      <c r="F27" s="16">
        <v>0</v>
      </c>
      <c r="G27" s="16">
        <f t="shared" si="3"/>
        <v>12299.620016295337</v>
      </c>
    </row>
    <row r="28" spans="2:7" x14ac:dyDescent="0.25">
      <c r="B28" s="10">
        <v>18</v>
      </c>
      <c r="C28" s="16">
        <f t="shared" si="0"/>
        <v>460.58587141293037</v>
      </c>
      <c r="D28" s="16">
        <f t="shared" si="1"/>
        <v>51.248416734563904</v>
      </c>
      <c r="E28" s="16">
        <f t="shared" si="2"/>
        <v>409.3374546783665</v>
      </c>
      <c r="F28" s="16">
        <v>0</v>
      </c>
      <c r="G28" s="16">
        <f t="shared" si="3"/>
        <v>11890.28256161697</v>
      </c>
    </row>
    <row r="29" spans="2:7" x14ac:dyDescent="0.25">
      <c r="B29" s="10">
        <v>19</v>
      </c>
      <c r="C29" s="16">
        <f t="shared" si="0"/>
        <v>460.58587141293037</v>
      </c>
      <c r="D29" s="16">
        <f t="shared" si="1"/>
        <v>49.542844006737376</v>
      </c>
      <c r="E29" s="16">
        <f t="shared" si="2"/>
        <v>411.043027406193</v>
      </c>
      <c r="F29" s="16">
        <v>0</v>
      </c>
      <c r="G29" s="16">
        <f t="shared" si="3"/>
        <v>11479.239534210777</v>
      </c>
    </row>
    <row r="30" spans="2:7" x14ac:dyDescent="0.25">
      <c r="B30" s="10">
        <v>20</v>
      </c>
      <c r="C30" s="16">
        <f t="shared" si="0"/>
        <v>460.58587141293037</v>
      </c>
      <c r="D30" s="16">
        <f t="shared" si="1"/>
        <v>47.830164725878241</v>
      </c>
      <c r="E30" s="16">
        <f t="shared" si="2"/>
        <v>412.75570668705211</v>
      </c>
      <c r="F30" s="16">
        <v>0</v>
      </c>
      <c r="G30" s="16">
        <f t="shared" si="3"/>
        <v>11066.483827523725</v>
      </c>
    </row>
    <row r="31" spans="2:7" x14ac:dyDescent="0.25">
      <c r="B31" s="10">
        <v>21</v>
      </c>
      <c r="C31" s="16">
        <f t="shared" si="0"/>
        <v>460.58587141293037</v>
      </c>
      <c r="D31" s="16">
        <f t="shared" si="1"/>
        <v>46.110349281348853</v>
      </c>
      <c r="E31" s="16">
        <f t="shared" si="2"/>
        <v>414.4755221315815</v>
      </c>
      <c r="F31" s="16">
        <v>0</v>
      </c>
      <c r="G31" s="16">
        <f t="shared" si="3"/>
        <v>10652.008305392144</v>
      </c>
    </row>
    <row r="32" spans="2:7" x14ac:dyDescent="0.25">
      <c r="B32" s="10">
        <v>22</v>
      </c>
      <c r="C32" s="16">
        <f t="shared" si="0"/>
        <v>460.58587141293037</v>
      </c>
      <c r="D32" s="16">
        <f t="shared" si="1"/>
        <v>44.383367939133933</v>
      </c>
      <c r="E32" s="16">
        <f t="shared" si="2"/>
        <v>416.20250347379647</v>
      </c>
      <c r="F32" s="16">
        <v>0</v>
      </c>
      <c r="G32" s="16">
        <f t="shared" si="3"/>
        <v>10235.805801918348</v>
      </c>
    </row>
    <row r="33" spans="2:7" x14ac:dyDescent="0.25">
      <c r="B33" s="10">
        <v>23</v>
      </c>
      <c r="C33" s="16">
        <f t="shared" si="0"/>
        <v>460.58587141293037</v>
      </c>
      <c r="D33" s="16">
        <f t="shared" si="1"/>
        <v>42.649190841326451</v>
      </c>
      <c r="E33" s="16">
        <f t="shared" si="2"/>
        <v>417.93668057160392</v>
      </c>
      <c r="F33" s="16">
        <v>0</v>
      </c>
      <c r="G33" s="16">
        <f t="shared" si="3"/>
        <v>9817.8691213467446</v>
      </c>
    </row>
    <row r="34" spans="2:7" x14ac:dyDescent="0.25">
      <c r="B34" s="10">
        <v>24</v>
      </c>
      <c r="C34" s="16">
        <f t="shared" si="0"/>
        <v>460.58587141293037</v>
      </c>
      <c r="D34" s="16">
        <f t="shared" si="1"/>
        <v>40.907788005611437</v>
      </c>
      <c r="E34" s="16">
        <f t="shared" si="2"/>
        <v>419.67808340731892</v>
      </c>
      <c r="F34" s="16">
        <v>0</v>
      </c>
      <c r="G34" s="16">
        <f t="shared" si="3"/>
        <v>9398.1910379394249</v>
      </c>
    </row>
    <row r="35" spans="2:7" x14ac:dyDescent="0.25">
      <c r="B35" s="10">
        <v>25</v>
      </c>
      <c r="C35" s="16">
        <f t="shared" si="0"/>
        <v>460.58587141293037</v>
      </c>
      <c r="D35" s="16">
        <f t="shared" si="1"/>
        <v>39.159129324747603</v>
      </c>
      <c r="E35" s="16">
        <f t="shared" si="2"/>
        <v>421.42674208818278</v>
      </c>
      <c r="F35" s="16">
        <v>0</v>
      </c>
      <c r="G35" s="16">
        <f t="shared" si="3"/>
        <v>8976.7642958512424</v>
      </c>
    </row>
    <row r="36" spans="2:7" x14ac:dyDescent="0.25">
      <c r="B36" s="10">
        <v>26</v>
      </c>
      <c r="C36" s="16">
        <f t="shared" si="0"/>
        <v>460.58587141293037</v>
      </c>
      <c r="D36" s="16">
        <f t="shared" si="1"/>
        <v>37.403184566046846</v>
      </c>
      <c r="E36" s="16">
        <f t="shared" si="2"/>
        <v>423.18268684688354</v>
      </c>
      <c r="F36" s="16">
        <v>0</v>
      </c>
      <c r="G36" s="16">
        <f t="shared" si="3"/>
        <v>8553.5816090043591</v>
      </c>
    </row>
    <row r="37" spans="2:7" x14ac:dyDescent="0.25">
      <c r="B37" s="10">
        <v>27</v>
      </c>
      <c r="C37" s="16">
        <f t="shared" si="0"/>
        <v>460.58587141293037</v>
      </c>
      <c r="D37" s="16">
        <f t="shared" si="1"/>
        <v>35.639923370851498</v>
      </c>
      <c r="E37" s="16">
        <f t="shared" si="2"/>
        <v>424.9459480420789</v>
      </c>
      <c r="F37" s="16">
        <v>0</v>
      </c>
      <c r="G37" s="16">
        <f t="shared" si="3"/>
        <v>8128.6356609622799</v>
      </c>
    </row>
    <row r="38" spans="2:7" x14ac:dyDescent="0.25">
      <c r="B38" s="10">
        <v>28</v>
      </c>
      <c r="C38" s="16">
        <f t="shared" si="0"/>
        <v>460.58587141293037</v>
      </c>
      <c r="D38" s="16">
        <f t="shared" si="1"/>
        <v>33.8693152540095</v>
      </c>
      <c r="E38" s="16">
        <f t="shared" si="2"/>
        <v>426.71655615892087</v>
      </c>
      <c r="F38" s="16">
        <v>0</v>
      </c>
      <c r="G38" s="16">
        <f t="shared" si="3"/>
        <v>7701.919104803359</v>
      </c>
    </row>
    <row r="39" spans="2:7" x14ac:dyDescent="0.25">
      <c r="B39" s="10">
        <v>29</v>
      </c>
      <c r="C39" s="16">
        <f t="shared" si="0"/>
        <v>460.58587141293037</v>
      </c>
      <c r="D39" s="16">
        <f t="shared" si="1"/>
        <v>32.091329603347326</v>
      </c>
      <c r="E39" s="16">
        <f t="shared" si="2"/>
        <v>428.49454180958304</v>
      </c>
      <c r="F39" s="16">
        <v>0</v>
      </c>
      <c r="G39" s="16">
        <f t="shared" si="3"/>
        <v>7273.4245629937759</v>
      </c>
    </row>
    <row r="40" spans="2:7" x14ac:dyDescent="0.25">
      <c r="B40" s="10">
        <v>30</v>
      </c>
      <c r="C40" s="16">
        <f t="shared" si="0"/>
        <v>460.58587141293037</v>
      </c>
      <c r="D40" s="16">
        <f t="shared" si="1"/>
        <v>30.305935679140731</v>
      </c>
      <c r="E40" s="16">
        <f t="shared" si="2"/>
        <v>430.27993573378967</v>
      </c>
      <c r="F40" s="16">
        <v>0</v>
      </c>
      <c r="G40" s="16">
        <f t="shared" si="3"/>
        <v>6843.144627259986</v>
      </c>
    </row>
    <row r="41" spans="2:7" x14ac:dyDescent="0.25">
      <c r="B41" s="10">
        <v>31</v>
      </c>
      <c r="C41" s="16">
        <f t="shared" si="0"/>
        <v>460.58587141293037</v>
      </c>
      <c r="D41" s="16">
        <f t="shared" si="1"/>
        <v>28.513102613583275</v>
      </c>
      <c r="E41" s="16">
        <f t="shared" si="2"/>
        <v>432.0727687993471</v>
      </c>
      <c r="F41" s="16">
        <v>0</v>
      </c>
      <c r="G41" s="16">
        <f t="shared" si="3"/>
        <v>6411.0718584606393</v>
      </c>
    </row>
    <row r="42" spans="2:7" x14ac:dyDescent="0.25">
      <c r="B42" s="10">
        <v>32</v>
      </c>
      <c r="C42" s="16">
        <f t="shared" si="0"/>
        <v>460.58587141293037</v>
      </c>
      <c r="D42" s="16">
        <f t="shared" si="1"/>
        <v>26.712799410252664</v>
      </c>
      <c r="E42" s="16">
        <f t="shared" si="2"/>
        <v>433.8730720026777</v>
      </c>
      <c r="F42" s="16">
        <v>0</v>
      </c>
      <c r="G42" s="16">
        <f t="shared" si="3"/>
        <v>5977.1987864579614</v>
      </c>
    </row>
    <row r="43" spans="2:7" x14ac:dyDescent="0.25">
      <c r="B43" s="10">
        <v>33</v>
      </c>
      <c r="C43" s="16">
        <f t="shared" si="0"/>
        <v>460.58587141293037</v>
      </c>
      <c r="D43" s="16">
        <f t="shared" si="1"/>
        <v>24.904994943574838</v>
      </c>
      <c r="E43" s="16">
        <f t="shared" si="2"/>
        <v>435.68087646935555</v>
      </c>
      <c r="F43" s="16">
        <v>0</v>
      </c>
      <c r="G43" s="16">
        <f t="shared" si="3"/>
        <v>5541.5179099886063</v>
      </c>
    </row>
    <row r="44" spans="2:7" x14ac:dyDescent="0.25">
      <c r="B44" s="10">
        <v>34</v>
      </c>
      <c r="C44" s="16">
        <f t="shared" si="0"/>
        <v>460.58587141293037</v>
      </c>
      <c r="D44" s="16">
        <f t="shared" si="1"/>
        <v>23.089657958285859</v>
      </c>
      <c r="E44" s="16">
        <f t="shared" si="2"/>
        <v>437.49621345464453</v>
      </c>
      <c r="F44" s="16">
        <v>0</v>
      </c>
      <c r="G44" s="16">
        <f t="shared" si="3"/>
        <v>5104.0216965339614</v>
      </c>
    </row>
    <row r="45" spans="2:7" x14ac:dyDescent="0.25">
      <c r="B45" s="10">
        <v>35</v>
      </c>
      <c r="C45" s="16">
        <f t="shared" si="0"/>
        <v>460.58587141293037</v>
      </c>
      <c r="D45" s="16">
        <f t="shared" si="1"/>
        <v>21.266757068891504</v>
      </c>
      <c r="E45" s="16">
        <f t="shared" si="2"/>
        <v>439.31911434403889</v>
      </c>
      <c r="F45" s="16">
        <v>0</v>
      </c>
      <c r="G45" s="16">
        <f t="shared" si="3"/>
        <v>4664.7025821899224</v>
      </c>
    </row>
    <row r="46" spans="2:7" x14ac:dyDescent="0.25">
      <c r="B46" s="10">
        <v>36</v>
      </c>
      <c r="C46" s="16">
        <f t="shared" si="0"/>
        <v>460.58587141293037</v>
      </c>
      <c r="D46" s="16">
        <f t="shared" si="1"/>
        <v>19.436260759124675</v>
      </c>
      <c r="E46" s="16">
        <f t="shared" si="2"/>
        <v>441.14961065380572</v>
      </c>
      <c r="F46" s="16">
        <v>0</v>
      </c>
      <c r="G46" s="16">
        <f t="shared" si="3"/>
        <v>4223.5529715361163</v>
      </c>
    </row>
    <row r="47" spans="2:7" x14ac:dyDescent="0.25">
      <c r="B47" s="10">
        <v>37</v>
      </c>
      <c r="C47" s="16">
        <f t="shared" si="0"/>
        <v>460.58587141293037</v>
      </c>
      <c r="D47" s="16">
        <f t="shared" si="1"/>
        <v>17.598137381400484</v>
      </c>
      <c r="E47" s="16">
        <f t="shared" si="2"/>
        <v>442.9877340315299</v>
      </c>
      <c r="F47" s="16">
        <v>0</v>
      </c>
      <c r="G47" s="16">
        <f t="shared" si="3"/>
        <v>3780.5652375045865</v>
      </c>
    </row>
    <row r="48" spans="2:7" x14ac:dyDescent="0.25">
      <c r="B48" s="10">
        <v>38</v>
      </c>
      <c r="C48" s="16">
        <f t="shared" si="0"/>
        <v>460.58587141293037</v>
      </c>
      <c r="D48" s="16">
        <f t="shared" si="1"/>
        <v>15.752355156269111</v>
      </c>
      <c r="E48" s="16">
        <f t="shared" si="2"/>
        <v>444.83351625666126</v>
      </c>
      <c r="F48" s="16">
        <v>0</v>
      </c>
      <c r="G48" s="16">
        <f t="shared" si="3"/>
        <v>3335.7317212479252</v>
      </c>
    </row>
    <row r="49" spans="2:7" x14ac:dyDescent="0.25">
      <c r="B49" s="10">
        <v>39</v>
      </c>
      <c r="C49" s="16">
        <f t="shared" si="0"/>
        <v>460.58587141293037</v>
      </c>
      <c r="D49" s="16">
        <f t="shared" si="1"/>
        <v>13.898882171866354</v>
      </c>
      <c r="E49" s="16">
        <f t="shared" si="2"/>
        <v>446.686989241064</v>
      </c>
      <c r="F49" s="16">
        <v>0</v>
      </c>
      <c r="G49" s="16">
        <f t="shared" si="3"/>
        <v>2889.0447320068611</v>
      </c>
    </row>
    <row r="50" spans="2:7" x14ac:dyDescent="0.25">
      <c r="B50" s="10">
        <v>40</v>
      </c>
      <c r="C50" s="16">
        <f t="shared" si="0"/>
        <v>460.58587141293037</v>
      </c>
      <c r="D50" s="16">
        <f t="shared" si="1"/>
        <v>12.037686383361921</v>
      </c>
      <c r="E50" s="16">
        <f t="shared" si="2"/>
        <v>448.54818502956846</v>
      </c>
      <c r="F50" s="16">
        <v>0</v>
      </c>
      <c r="G50" s="16">
        <f t="shared" si="3"/>
        <v>2440.4965469772924</v>
      </c>
    </row>
    <row r="51" spans="2:7" x14ac:dyDescent="0.25">
      <c r="B51" s="10">
        <v>41</v>
      </c>
      <c r="C51" s="16">
        <f t="shared" si="0"/>
        <v>460.58587141293037</v>
      </c>
      <c r="D51" s="16">
        <f t="shared" si="1"/>
        <v>10.168735612405385</v>
      </c>
      <c r="E51" s="16">
        <f t="shared" si="2"/>
        <v>450.41713580052499</v>
      </c>
      <c r="F51" s="16">
        <v>0</v>
      </c>
      <c r="G51" s="16">
        <f t="shared" si="3"/>
        <v>1990.0794111767673</v>
      </c>
    </row>
    <row r="52" spans="2:7" x14ac:dyDescent="0.25">
      <c r="B52" s="10">
        <v>42</v>
      </c>
      <c r="C52" s="16">
        <f t="shared" si="0"/>
        <v>460.58587141293037</v>
      </c>
      <c r="D52" s="16">
        <f t="shared" si="1"/>
        <v>8.2919975465698634</v>
      </c>
      <c r="E52" s="16">
        <f t="shared" si="2"/>
        <v>452.29387386636051</v>
      </c>
      <c r="F52" s="16">
        <v>0</v>
      </c>
      <c r="G52" s="16">
        <f t="shared" si="3"/>
        <v>1537.7855373104067</v>
      </c>
    </row>
    <row r="53" spans="2:7" x14ac:dyDescent="0.25">
      <c r="B53" s="10">
        <v>43</v>
      </c>
      <c r="C53" s="16">
        <f t="shared" si="0"/>
        <v>460.58587141293037</v>
      </c>
      <c r="D53" s="16">
        <f t="shared" si="1"/>
        <v>6.4074397387933608</v>
      </c>
      <c r="E53" s="16">
        <f t="shared" si="2"/>
        <v>454.17843167413702</v>
      </c>
      <c r="F53" s="16">
        <v>0</v>
      </c>
      <c r="G53" s="16">
        <f t="shared" si="3"/>
        <v>1083.6071056362696</v>
      </c>
    </row>
    <row r="54" spans="2:7" x14ac:dyDescent="0.25">
      <c r="B54" s="10">
        <v>44</v>
      </c>
      <c r="C54" s="16">
        <f t="shared" si="0"/>
        <v>460.58587141293037</v>
      </c>
      <c r="D54" s="16">
        <f t="shared" si="1"/>
        <v>4.51502960681779</v>
      </c>
      <c r="E54" s="16">
        <f t="shared" si="2"/>
        <v>456.07084180611258</v>
      </c>
      <c r="F54" s="16">
        <v>0</v>
      </c>
      <c r="G54" s="16">
        <f t="shared" si="3"/>
        <v>627.53626383015694</v>
      </c>
    </row>
    <row r="55" spans="2:7" x14ac:dyDescent="0.25">
      <c r="B55" s="10">
        <v>45</v>
      </c>
      <c r="C55" s="16">
        <f t="shared" si="0"/>
        <v>460.58587141293037</v>
      </c>
      <c r="D55" s="16">
        <f t="shared" si="1"/>
        <v>2.6147344326256539</v>
      </c>
      <c r="E55" s="16">
        <f t="shared" si="2"/>
        <v>457.97113698030472</v>
      </c>
      <c r="F55" s="16">
        <v>0</v>
      </c>
      <c r="G55" s="16">
        <f t="shared" si="3"/>
        <v>169.56512684985222</v>
      </c>
    </row>
    <row r="56" spans="2:7" x14ac:dyDescent="0.25">
      <c r="B56" s="10">
        <v>46</v>
      </c>
      <c r="C56" s="16">
        <f>IF(G55&lt;$C$7,G55*(1+$C$4),$C$7)</f>
        <v>170.27164821172661</v>
      </c>
      <c r="D56" s="16">
        <f t="shared" si="1"/>
        <v>0.70652136187438419</v>
      </c>
      <c r="E56" s="16">
        <f t="shared" si="2"/>
        <v>169.56512684985222</v>
      </c>
      <c r="F56" s="16">
        <v>0</v>
      </c>
      <c r="G56" s="16">
        <f t="shared" si="3"/>
        <v>0</v>
      </c>
    </row>
    <row r="57" spans="2:7" x14ac:dyDescent="0.25">
      <c r="B57" s="10">
        <v>47</v>
      </c>
      <c r="C57" s="16">
        <f t="shared" ref="C57:C58" si="4">IF(G56&lt;$C$7,G56*(1+$C$4),$C$7)</f>
        <v>0</v>
      </c>
      <c r="D57" s="16">
        <f t="shared" si="1"/>
        <v>0</v>
      </c>
      <c r="E57" s="16">
        <f t="shared" si="2"/>
        <v>0</v>
      </c>
      <c r="F57" s="16">
        <v>0</v>
      </c>
      <c r="G57" s="16">
        <f t="shared" si="3"/>
        <v>0</v>
      </c>
    </row>
    <row r="58" spans="2:7" x14ac:dyDescent="0.25">
      <c r="B58" s="10">
        <v>48</v>
      </c>
      <c r="C58" s="16">
        <f t="shared" si="4"/>
        <v>0</v>
      </c>
      <c r="D58" s="16">
        <f t="shared" si="1"/>
        <v>0</v>
      </c>
      <c r="E58" s="16">
        <f t="shared" si="2"/>
        <v>0</v>
      </c>
      <c r="F58" s="16">
        <v>0</v>
      </c>
      <c r="G58" s="16">
        <f t="shared" si="3"/>
        <v>0</v>
      </c>
    </row>
    <row r="59" spans="2:7" x14ac:dyDescent="0.25">
      <c r="C59" s="9"/>
      <c r="D59" s="9"/>
      <c r="E59" s="9"/>
      <c r="F59" s="9"/>
      <c r="G59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B1901-2267-4C8E-A4CC-CBD231DEDB8C}">
  <dimension ref="B2:G59"/>
  <sheetViews>
    <sheetView topLeftCell="B1" workbookViewId="0">
      <selection activeCell="E25" sqref="E25"/>
    </sheetView>
  </sheetViews>
  <sheetFormatPr defaultRowHeight="15" x14ac:dyDescent="0.25"/>
  <cols>
    <col min="2" max="7" width="15.7109375" customWidth="1"/>
  </cols>
  <sheetData>
    <row r="2" spans="2:7" x14ac:dyDescent="0.25">
      <c r="B2" s="12" t="s">
        <v>2</v>
      </c>
      <c r="C2" s="5">
        <v>20000</v>
      </c>
      <c r="E2" s="14" t="s">
        <v>14</v>
      </c>
      <c r="F2" s="13">
        <v>2108.12</v>
      </c>
    </row>
    <row r="3" spans="2:7" x14ac:dyDescent="0.25">
      <c r="B3" s="12" t="s">
        <v>3</v>
      </c>
      <c r="C3" s="7">
        <v>0.05</v>
      </c>
      <c r="E3" s="14" t="s">
        <v>15</v>
      </c>
      <c r="F3" s="13">
        <f>SUM(D11:D58)</f>
        <v>636.43542893756774</v>
      </c>
    </row>
    <row r="4" spans="2:7" x14ac:dyDescent="0.25">
      <c r="B4" s="12" t="s">
        <v>4</v>
      </c>
      <c r="C4" s="6">
        <f>C3/12</f>
        <v>4.1666666666666666E-3</v>
      </c>
      <c r="E4" s="14" t="s">
        <v>16</v>
      </c>
      <c r="F4" s="13">
        <f>F2-F3</f>
        <v>1471.684571062432</v>
      </c>
    </row>
    <row r="5" spans="2:7" x14ac:dyDescent="0.25">
      <c r="B5" s="12" t="s">
        <v>5</v>
      </c>
      <c r="C5" s="4">
        <v>4</v>
      </c>
      <c r="E5" s="14" t="s">
        <v>20</v>
      </c>
      <c r="F5" s="17">
        <f>COUNTIF(C11:C58,"&gt;0")</f>
        <v>15</v>
      </c>
    </row>
    <row r="6" spans="2:7" x14ac:dyDescent="0.25">
      <c r="B6" s="12" t="s">
        <v>6</v>
      </c>
      <c r="C6" s="3">
        <f>C5*12</f>
        <v>48</v>
      </c>
    </row>
    <row r="7" spans="2:7" x14ac:dyDescent="0.25">
      <c r="B7" s="12" t="s">
        <v>7</v>
      </c>
      <c r="C7" s="8">
        <f>-PMT(C4,C6,C2)</f>
        <v>460.58587141293037</v>
      </c>
    </row>
    <row r="9" spans="2:7" x14ac:dyDescent="0.25">
      <c r="B9" s="11" t="s">
        <v>8</v>
      </c>
      <c r="C9" s="11" t="s">
        <v>9</v>
      </c>
      <c r="D9" s="11" t="s">
        <v>10</v>
      </c>
      <c r="E9" s="11" t="s">
        <v>11</v>
      </c>
      <c r="F9" s="11" t="s">
        <v>12</v>
      </c>
      <c r="G9" s="11" t="s">
        <v>13</v>
      </c>
    </row>
    <row r="10" spans="2:7" x14ac:dyDescent="0.25">
      <c r="B10" s="10">
        <v>0</v>
      </c>
      <c r="C10" s="16"/>
      <c r="D10" s="16"/>
      <c r="E10" s="16"/>
      <c r="F10" s="16"/>
      <c r="G10" s="16">
        <f>C2</f>
        <v>20000</v>
      </c>
    </row>
    <row r="11" spans="2:7" x14ac:dyDescent="0.25">
      <c r="B11" s="10">
        <v>1</v>
      </c>
      <c r="C11" s="16">
        <f>$C$7</f>
        <v>460.58587141293037</v>
      </c>
      <c r="D11" s="16">
        <f>G10*$C$4</f>
        <v>83.333333333333329</v>
      </c>
      <c r="E11" s="16">
        <f>C11-D11</f>
        <v>377.25253807959706</v>
      </c>
      <c r="F11" s="16">
        <v>1000</v>
      </c>
      <c r="G11" s="16">
        <f>G10-F11-E11</f>
        <v>18622.747461920404</v>
      </c>
    </row>
    <row r="12" spans="2:7" x14ac:dyDescent="0.25">
      <c r="B12" s="10">
        <v>2</v>
      </c>
      <c r="C12" s="16">
        <f t="shared" ref="C12:C24" si="0">$C$7</f>
        <v>460.58587141293037</v>
      </c>
      <c r="D12" s="16">
        <f t="shared" ref="D12:D58" si="1">G11*$C$4</f>
        <v>77.594781091335022</v>
      </c>
      <c r="E12" s="16">
        <f t="shared" ref="E12:E58" si="2">C12-D12</f>
        <v>382.99109032159538</v>
      </c>
      <c r="F12" s="16">
        <v>1000</v>
      </c>
      <c r="G12" s="16">
        <f t="shared" ref="G12:G58" si="3">G11-F12-E12</f>
        <v>17239.756371598807</v>
      </c>
    </row>
    <row r="13" spans="2:7" x14ac:dyDescent="0.25">
      <c r="B13" s="10">
        <v>3</v>
      </c>
      <c r="C13" s="16">
        <f t="shared" si="0"/>
        <v>460.58587141293037</v>
      </c>
      <c r="D13" s="16">
        <f t="shared" si="1"/>
        <v>71.832318214995027</v>
      </c>
      <c r="E13" s="16">
        <f t="shared" si="2"/>
        <v>388.75355319793533</v>
      </c>
      <c r="F13" s="16">
        <v>1000</v>
      </c>
      <c r="G13" s="16">
        <f t="shared" si="3"/>
        <v>15851.002818400872</v>
      </c>
    </row>
    <row r="14" spans="2:7" x14ac:dyDescent="0.25">
      <c r="B14" s="10">
        <v>4</v>
      </c>
      <c r="C14" s="16">
        <f t="shared" si="0"/>
        <v>460.58587141293037</v>
      </c>
      <c r="D14" s="16">
        <f t="shared" si="1"/>
        <v>66.045845076670304</v>
      </c>
      <c r="E14" s="16">
        <f t="shared" si="2"/>
        <v>394.5400263362601</v>
      </c>
      <c r="F14" s="16">
        <v>1000</v>
      </c>
      <c r="G14" s="16">
        <f t="shared" si="3"/>
        <v>14456.462792064611</v>
      </c>
    </row>
    <row r="15" spans="2:7" x14ac:dyDescent="0.25">
      <c r="B15" s="10">
        <v>5</v>
      </c>
      <c r="C15" s="16">
        <f t="shared" si="0"/>
        <v>460.58587141293037</v>
      </c>
      <c r="D15" s="16">
        <f t="shared" si="1"/>
        <v>60.235261633602541</v>
      </c>
      <c r="E15" s="16">
        <f t="shared" si="2"/>
        <v>400.35060977932784</v>
      </c>
      <c r="F15" s="16">
        <v>1000</v>
      </c>
      <c r="G15" s="16">
        <f t="shared" si="3"/>
        <v>13056.112182285284</v>
      </c>
    </row>
    <row r="16" spans="2:7" x14ac:dyDescent="0.25">
      <c r="B16" s="10">
        <v>6</v>
      </c>
      <c r="C16" s="16">
        <f t="shared" si="0"/>
        <v>460.58587141293037</v>
      </c>
      <c r="D16" s="16">
        <f t="shared" si="1"/>
        <v>54.400467426188683</v>
      </c>
      <c r="E16" s="16">
        <f t="shared" si="2"/>
        <v>406.18540398674168</v>
      </c>
      <c r="F16" s="16">
        <v>1000</v>
      </c>
      <c r="G16" s="16">
        <f t="shared" si="3"/>
        <v>11649.926778298543</v>
      </c>
    </row>
    <row r="17" spans="2:7" x14ac:dyDescent="0.25">
      <c r="B17" s="10">
        <v>7</v>
      </c>
      <c r="C17" s="16">
        <f t="shared" si="0"/>
        <v>460.58587141293037</v>
      </c>
      <c r="D17" s="16">
        <f t="shared" si="1"/>
        <v>48.541361576243929</v>
      </c>
      <c r="E17" s="16">
        <f t="shared" si="2"/>
        <v>412.04450983668642</v>
      </c>
      <c r="F17" s="16">
        <v>1000</v>
      </c>
      <c r="G17" s="16">
        <f t="shared" si="3"/>
        <v>10237.882268461855</v>
      </c>
    </row>
    <row r="18" spans="2:7" x14ac:dyDescent="0.25">
      <c r="B18" s="10">
        <v>8</v>
      </c>
      <c r="C18" s="16">
        <f t="shared" si="0"/>
        <v>460.58587141293037</v>
      </c>
      <c r="D18" s="16">
        <f t="shared" si="1"/>
        <v>42.657842785257728</v>
      </c>
      <c r="E18" s="16">
        <f t="shared" si="2"/>
        <v>417.92802862767263</v>
      </c>
      <c r="F18" s="16">
        <v>1000</v>
      </c>
      <c r="G18" s="16">
        <f t="shared" si="3"/>
        <v>8819.9542398341819</v>
      </c>
    </row>
    <row r="19" spans="2:7" x14ac:dyDescent="0.25">
      <c r="B19" s="10">
        <v>9</v>
      </c>
      <c r="C19" s="16">
        <f t="shared" si="0"/>
        <v>460.58587141293037</v>
      </c>
      <c r="D19" s="16">
        <f t="shared" si="1"/>
        <v>36.749809332642421</v>
      </c>
      <c r="E19" s="16">
        <f t="shared" si="2"/>
        <v>423.83606208028795</v>
      </c>
      <c r="F19" s="16">
        <v>1000</v>
      </c>
      <c r="G19" s="16">
        <f t="shared" si="3"/>
        <v>7396.1181777538941</v>
      </c>
    </row>
    <row r="20" spans="2:7" x14ac:dyDescent="0.25">
      <c r="B20" s="10">
        <v>10</v>
      </c>
      <c r="C20" s="16">
        <f t="shared" si="0"/>
        <v>460.58587141293037</v>
      </c>
      <c r="D20" s="16">
        <f t="shared" si="1"/>
        <v>30.817159073974558</v>
      </c>
      <c r="E20" s="16">
        <f t="shared" si="2"/>
        <v>429.76871233895582</v>
      </c>
      <c r="F20" s="16">
        <v>1000</v>
      </c>
      <c r="G20" s="16">
        <f t="shared" si="3"/>
        <v>5966.3494654149381</v>
      </c>
    </row>
    <row r="21" spans="2:7" x14ac:dyDescent="0.25">
      <c r="B21" s="10">
        <v>11</v>
      </c>
      <c r="C21" s="16">
        <f t="shared" si="0"/>
        <v>460.58587141293037</v>
      </c>
      <c r="D21" s="16">
        <f t="shared" si="1"/>
        <v>24.859789439228908</v>
      </c>
      <c r="E21" s="16">
        <f t="shared" si="2"/>
        <v>435.72608197370147</v>
      </c>
      <c r="F21" s="16">
        <v>1000</v>
      </c>
      <c r="G21" s="16">
        <f t="shared" si="3"/>
        <v>4530.6233834412369</v>
      </c>
    </row>
    <row r="22" spans="2:7" x14ac:dyDescent="0.25">
      <c r="B22" s="10">
        <v>12</v>
      </c>
      <c r="C22" s="16">
        <f t="shared" si="0"/>
        <v>460.58587141293037</v>
      </c>
      <c r="D22" s="16">
        <f t="shared" si="1"/>
        <v>18.877597431005153</v>
      </c>
      <c r="E22" s="16">
        <f t="shared" si="2"/>
        <v>441.70827398192523</v>
      </c>
      <c r="F22" s="16">
        <v>1000</v>
      </c>
      <c r="G22" s="16">
        <f t="shared" si="3"/>
        <v>3088.9151094593117</v>
      </c>
    </row>
    <row r="23" spans="2:7" x14ac:dyDescent="0.25">
      <c r="B23" s="10">
        <v>13</v>
      </c>
      <c r="C23" s="16">
        <f t="shared" si="0"/>
        <v>460.58587141293037</v>
      </c>
      <c r="D23" s="16">
        <f t="shared" si="1"/>
        <v>12.870479622747132</v>
      </c>
      <c r="E23" s="16">
        <f t="shared" si="2"/>
        <v>447.71539179018322</v>
      </c>
      <c r="F23" s="16">
        <v>1000</v>
      </c>
      <c r="G23" s="23">
        <f t="shared" si="3"/>
        <v>1641.1997176691284</v>
      </c>
    </row>
    <row r="24" spans="2:7" x14ac:dyDescent="0.25">
      <c r="B24" s="10">
        <v>14</v>
      </c>
      <c r="C24" s="16">
        <f t="shared" si="0"/>
        <v>460.58587141293037</v>
      </c>
      <c r="D24" s="23">
        <f t="shared" si="1"/>
        <v>6.838332156954702</v>
      </c>
      <c r="E24" s="16">
        <f t="shared" si="2"/>
        <v>453.74753925597565</v>
      </c>
      <c r="F24" s="16">
        <v>1000</v>
      </c>
      <c r="G24" s="16">
        <f t="shared" si="3"/>
        <v>187.45217841315275</v>
      </c>
    </row>
    <row r="25" spans="2:7" x14ac:dyDescent="0.25">
      <c r="B25" s="10">
        <v>15</v>
      </c>
      <c r="C25" s="16">
        <f>IF(G24&lt;$C$7,G24*(1+$C$4),$C$7)</f>
        <v>188.23322915654089</v>
      </c>
      <c r="D25" s="16">
        <f t="shared" si="1"/>
        <v>0.7810507433881364</v>
      </c>
      <c r="E25" s="16">
        <f t="shared" si="2"/>
        <v>187.45217841315275</v>
      </c>
      <c r="F25" s="16"/>
      <c r="G25" s="16">
        <f t="shared" si="3"/>
        <v>0</v>
      </c>
    </row>
    <row r="26" spans="2:7" x14ac:dyDescent="0.25">
      <c r="B26" s="10">
        <v>16</v>
      </c>
      <c r="C26" s="16">
        <f t="shared" ref="C26:C58" si="4">IF(G25&lt;$C$7,G25*(1+$C$4),$C$7)</f>
        <v>0</v>
      </c>
      <c r="D26" s="16">
        <f t="shared" si="1"/>
        <v>0</v>
      </c>
      <c r="E26" s="16">
        <f t="shared" si="2"/>
        <v>0</v>
      </c>
      <c r="F26" s="16"/>
      <c r="G26" s="16">
        <f t="shared" si="3"/>
        <v>0</v>
      </c>
    </row>
    <row r="27" spans="2:7" x14ac:dyDescent="0.25">
      <c r="B27" s="10">
        <v>17</v>
      </c>
      <c r="C27" s="16">
        <f t="shared" si="4"/>
        <v>0</v>
      </c>
      <c r="D27" s="16">
        <f t="shared" si="1"/>
        <v>0</v>
      </c>
      <c r="E27" s="16">
        <f t="shared" si="2"/>
        <v>0</v>
      </c>
      <c r="F27" s="16"/>
      <c r="G27" s="16">
        <f t="shared" si="3"/>
        <v>0</v>
      </c>
    </row>
    <row r="28" spans="2:7" x14ac:dyDescent="0.25">
      <c r="B28" s="10">
        <v>18</v>
      </c>
      <c r="C28" s="16">
        <f t="shared" si="4"/>
        <v>0</v>
      </c>
      <c r="D28" s="16">
        <f t="shared" si="1"/>
        <v>0</v>
      </c>
      <c r="E28" s="16">
        <f t="shared" si="2"/>
        <v>0</v>
      </c>
      <c r="F28" s="16"/>
      <c r="G28" s="16">
        <f t="shared" si="3"/>
        <v>0</v>
      </c>
    </row>
    <row r="29" spans="2:7" x14ac:dyDescent="0.25">
      <c r="B29" s="10">
        <v>19</v>
      </c>
      <c r="C29" s="16">
        <f t="shared" si="4"/>
        <v>0</v>
      </c>
      <c r="D29" s="16">
        <f t="shared" si="1"/>
        <v>0</v>
      </c>
      <c r="E29" s="16">
        <f t="shared" si="2"/>
        <v>0</v>
      </c>
      <c r="F29" s="16"/>
      <c r="G29" s="16">
        <f t="shared" si="3"/>
        <v>0</v>
      </c>
    </row>
    <row r="30" spans="2:7" x14ac:dyDescent="0.25">
      <c r="B30" s="10">
        <v>20</v>
      </c>
      <c r="C30" s="16">
        <f t="shared" si="4"/>
        <v>0</v>
      </c>
      <c r="D30" s="16">
        <f t="shared" si="1"/>
        <v>0</v>
      </c>
      <c r="E30" s="16">
        <f t="shared" si="2"/>
        <v>0</v>
      </c>
      <c r="F30" s="16"/>
      <c r="G30" s="16">
        <f t="shared" si="3"/>
        <v>0</v>
      </c>
    </row>
    <row r="31" spans="2:7" x14ac:dyDescent="0.25">
      <c r="B31" s="10">
        <v>21</v>
      </c>
      <c r="C31" s="16">
        <f t="shared" si="4"/>
        <v>0</v>
      </c>
      <c r="D31" s="16">
        <f t="shared" si="1"/>
        <v>0</v>
      </c>
      <c r="E31" s="16">
        <f t="shared" si="2"/>
        <v>0</v>
      </c>
      <c r="F31" s="16"/>
      <c r="G31" s="16">
        <f t="shared" si="3"/>
        <v>0</v>
      </c>
    </row>
    <row r="32" spans="2:7" x14ac:dyDescent="0.25">
      <c r="B32" s="10">
        <v>22</v>
      </c>
      <c r="C32" s="16">
        <f t="shared" si="4"/>
        <v>0</v>
      </c>
      <c r="D32" s="16">
        <f t="shared" si="1"/>
        <v>0</v>
      </c>
      <c r="E32" s="16">
        <f t="shared" si="2"/>
        <v>0</v>
      </c>
      <c r="F32" s="16"/>
      <c r="G32" s="16">
        <f t="shared" si="3"/>
        <v>0</v>
      </c>
    </row>
    <row r="33" spans="2:7" x14ac:dyDescent="0.25">
      <c r="B33" s="10">
        <v>23</v>
      </c>
      <c r="C33" s="16">
        <f t="shared" si="4"/>
        <v>0</v>
      </c>
      <c r="D33" s="16">
        <f t="shared" si="1"/>
        <v>0</v>
      </c>
      <c r="E33" s="16">
        <f t="shared" si="2"/>
        <v>0</v>
      </c>
      <c r="F33" s="16"/>
      <c r="G33" s="16">
        <f t="shared" si="3"/>
        <v>0</v>
      </c>
    </row>
    <row r="34" spans="2:7" x14ac:dyDescent="0.25">
      <c r="B34" s="10">
        <v>24</v>
      </c>
      <c r="C34" s="16">
        <f t="shared" si="4"/>
        <v>0</v>
      </c>
      <c r="D34" s="16">
        <f t="shared" si="1"/>
        <v>0</v>
      </c>
      <c r="E34" s="16">
        <f t="shared" si="2"/>
        <v>0</v>
      </c>
      <c r="F34" s="16"/>
      <c r="G34" s="16">
        <f t="shared" si="3"/>
        <v>0</v>
      </c>
    </row>
    <row r="35" spans="2:7" x14ac:dyDescent="0.25">
      <c r="B35" s="10">
        <v>25</v>
      </c>
      <c r="C35" s="16">
        <f t="shared" si="4"/>
        <v>0</v>
      </c>
      <c r="D35" s="16">
        <f t="shared" si="1"/>
        <v>0</v>
      </c>
      <c r="E35" s="16">
        <f t="shared" si="2"/>
        <v>0</v>
      </c>
      <c r="F35" s="16"/>
      <c r="G35" s="16">
        <f t="shared" si="3"/>
        <v>0</v>
      </c>
    </row>
    <row r="36" spans="2:7" x14ac:dyDescent="0.25">
      <c r="B36" s="10">
        <v>26</v>
      </c>
      <c r="C36" s="16">
        <f t="shared" si="4"/>
        <v>0</v>
      </c>
      <c r="D36" s="16">
        <f t="shared" si="1"/>
        <v>0</v>
      </c>
      <c r="E36" s="16">
        <f t="shared" si="2"/>
        <v>0</v>
      </c>
      <c r="F36" s="16"/>
      <c r="G36" s="16">
        <f t="shared" si="3"/>
        <v>0</v>
      </c>
    </row>
    <row r="37" spans="2:7" x14ac:dyDescent="0.25">
      <c r="B37" s="10">
        <v>27</v>
      </c>
      <c r="C37" s="16">
        <f t="shared" si="4"/>
        <v>0</v>
      </c>
      <c r="D37" s="16">
        <f t="shared" si="1"/>
        <v>0</v>
      </c>
      <c r="E37" s="16">
        <f t="shared" si="2"/>
        <v>0</v>
      </c>
      <c r="F37" s="16"/>
      <c r="G37" s="16">
        <f t="shared" si="3"/>
        <v>0</v>
      </c>
    </row>
    <row r="38" spans="2:7" x14ac:dyDescent="0.25">
      <c r="B38" s="10">
        <v>28</v>
      </c>
      <c r="C38" s="16">
        <f t="shared" si="4"/>
        <v>0</v>
      </c>
      <c r="D38" s="16">
        <f t="shared" si="1"/>
        <v>0</v>
      </c>
      <c r="E38" s="16">
        <f t="shared" si="2"/>
        <v>0</v>
      </c>
      <c r="F38" s="16"/>
      <c r="G38" s="16">
        <f t="shared" si="3"/>
        <v>0</v>
      </c>
    </row>
    <row r="39" spans="2:7" x14ac:dyDescent="0.25">
      <c r="B39" s="10">
        <v>29</v>
      </c>
      <c r="C39" s="16">
        <f t="shared" si="4"/>
        <v>0</v>
      </c>
      <c r="D39" s="16">
        <f t="shared" si="1"/>
        <v>0</v>
      </c>
      <c r="E39" s="16">
        <f t="shared" si="2"/>
        <v>0</v>
      </c>
      <c r="F39" s="16"/>
      <c r="G39" s="16">
        <f t="shared" si="3"/>
        <v>0</v>
      </c>
    </row>
    <row r="40" spans="2:7" x14ac:dyDescent="0.25">
      <c r="B40" s="10">
        <v>30</v>
      </c>
      <c r="C40" s="16">
        <f t="shared" si="4"/>
        <v>0</v>
      </c>
      <c r="D40" s="16">
        <f t="shared" si="1"/>
        <v>0</v>
      </c>
      <c r="E40" s="16">
        <f t="shared" si="2"/>
        <v>0</v>
      </c>
      <c r="F40" s="16"/>
      <c r="G40" s="16">
        <f t="shared" si="3"/>
        <v>0</v>
      </c>
    </row>
    <row r="41" spans="2:7" x14ac:dyDescent="0.25">
      <c r="B41" s="10">
        <v>31</v>
      </c>
      <c r="C41" s="16">
        <f t="shared" si="4"/>
        <v>0</v>
      </c>
      <c r="D41" s="16">
        <f t="shared" si="1"/>
        <v>0</v>
      </c>
      <c r="E41" s="16">
        <f t="shared" si="2"/>
        <v>0</v>
      </c>
      <c r="F41" s="16"/>
      <c r="G41" s="16">
        <f t="shared" si="3"/>
        <v>0</v>
      </c>
    </row>
    <row r="42" spans="2:7" x14ac:dyDescent="0.25">
      <c r="B42" s="10">
        <v>32</v>
      </c>
      <c r="C42" s="16">
        <f t="shared" si="4"/>
        <v>0</v>
      </c>
      <c r="D42" s="16">
        <f t="shared" si="1"/>
        <v>0</v>
      </c>
      <c r="E42" s="16">
        <f t="shared" si="2"/>
        <v>0</v>
      </c>
      <c r="F42" s="16"/>
      <c r="G42" s="16">
        <f t="shared" si="3"/>
        <v>0</v>
      </c>
    </row>
    <row r="43" spans="2:7" x14ac:dyDescent="0.25">
      <c r="B43" s="10">
        <v>33</v>
      </c>
      <c r="C43" s="16">
        <f t="shared" si="4"/>
        <v>0</v>
      </c>
      <c r="D43" s="16">
        <f t="shared" si="1"/>
        <v>0</v>
      </c>
      <c r="E43" s="16">
        <f t="shared" si="2"/>
        <v>0</v>
      </c>
      <c r="F43" s="16"/>
      <c r="G43" s="16">
        <f t="shared" si="3"/>
        <v>0</v>
      </c>
    </row>
    <row r="44" spans="2:7" x14ac:dyDescent="0.25">
      <c r="B44" s="10">
        <v>34</v>
      </c>
      <c r="C44" s="16">
        <f t="shared" si="4"/>
        <v>0</v>
      </c>
      <c r="D44" s="16">
        <f t="shared" si="1"/>
        <v>0</v>
      </c>
      <c r="E44" s="16">
        <f t="shared" si="2"/>
        <v>0</v>
      </c>
      <c r="F44" s="16"/>
      <c r="G44" s="16">
        <f t="shared" si="3"/>
        <v>0</v>
      </c>
    </row>
    <row r="45" spans="2:7" x14ac:dyDescent="0.25">
      <c r="B45" s="10">
        <v>35</v>
      </c>
      <c r="C45" s="16">
        <f t="shared" si="4"/>
        <v>0</v>
      </c>
      <c r="D45" s="16">
        <f t="shared" si="1"/>
        <v>0</v>
      </c>
      <c r="E45" s="16">
        <f t="shared" si="2"/>
        <v>0</v>
      </c>
      <c r="F45" s="16"/>
      <c r="G45" s="16">
        <f t="shared" si="3"/>
        <v>0</v>
      </c>
    </row>
    <row r="46" spans="2:7" x14ac:dyDescent="0.25">
      <c r="B46" s="10">
        <v>36</v>
      </c>
      <c r="C46" s="16">
        <f t="shared" si="4"/>
        <v>0</v>
      </c>
      <c r="D46" s="16">
        <f t="shared" si="1"/>
        <v>0</v>
      </c>
      <c r="E46" s="16">
        <f t="shared" si="2"/>
        <v>0</v>
      </c>
      <c r="F46" s="16"/>
      <c r="G46" s="16">
        <f t="shared" si="3"/>
        <v>0</v>
      </c>
    </row>
    <row r="47" spans="2:7" x14ac:dyDescent="0.25">
      <c r="B47" s="10">
        <v>37</v>
      </c>
      <c r="C47" s="16">
        <f t="shared" si="4"/>
        <v>0</v>
      </c>
      <c r="D47" s="16">
        <f t="shared" si="1"/>
        <v>0</v>
      </c>
      <c r="E47" s="16">
        <f t="shared" si="2"/>
        <v>0</v>
      </c>
      <c r="F47" s="16"/>
      <c r="G47" s="16">
        <f t="shared" si="3"/>
        <v>0</v>
      </c>
    </row>
    <row r="48" spans="2:7" x14ac:dyDescent="0.25">
      <c r="B48" s="10">
        <v>38</v>
      </c>
      <c r="C48" s="16">
        <f t="shared" si="4"/>
        <v>0</v>
      </c>
      <c r="D48" s="16">
        <f t="shared" si="1"/>
        <v>0</v>
      </c>
      <c r="E48" s="16">
        <f t="shared" si="2"/>
        <v>0</v>
      </c>
      <c r="F48" s="16"/>
      <c r="G48" s="16">
        <f t="shared" si="3"/>
        <v>0</v>
      </c>
    </row>
    <row r="49" spans="2:7" x14ac:dyDescent="0.25">
      <c r="B49" s="10">
        <v>39</v>
      </c>
      <c r="C49" s="16">
        <f t="shared" si="4"/>
        <v>0</v>
      </c>
      <c r="D49" s="16">
        <f t="shared" si="1"/>
        <v>0</v>
      </c>
      <c r="E49" s="16">
        <f t="shared" si="2"/>
        <v>0</v>
      </c>
      <c r="F49" s="16"/>
      <c r="G49" s="16">
        <f t="shared" si="3"/>
        <v>0</v>
      </c>
    </row>
    <row r="50" spans="2:7" x14ac:dyDescent="0.25">
      <c r="B50" s="10">
        <v>40</v>
      </c>
      <c r="C50" s="16">
        <f t="shared" si="4"/>
        <v>0</v>
      </c>
      <c r="D50" s="16">
        <f t="shared" si="1"/>
        <v>0</v>
      </c>
      <c r="E50" s="16">
        <f t="shared" si="2"/>
        <v>0</v>
      </c>
      <c r="F50" s="16"/>
      <c r="G50" s="16">
        <f t="shared" si="3"/>
        <v>0</v>
      </c>
    </row>
    <row r="51" spans="2:7" x14ac:dyDescent="0.25">
      <c r="B51" s="10">
        <v>41</v>
      </c>
      <c r="C51" s="16">
        <f t="shared" si="4"/>
        <v>0</v>
      </c>
      <c r="D51" s="16">
        <f t="shared" si="1"/>
        <v>0</v>
      </c>
      <c r="E51" s="16">
        <f t="shared" si="2"/>
        <v>0</v>
      </c>
      <c r="F51" s="16"/>
      <c r="G51" s="16">
        <f t="shared" si="3"/>
        <v>0</v>
      </c>
    </row>
    <row r="52" spans="2:7" x14ac:dyDescent="0.25">
      <c r="B52" s="10">
        <v>42</v>
      </c>
      <c r="C52" s="16">
        <f t="shared" si="4"/>
        <v>0</v>
      </c>
      <c r="D52" s="16">
        <f t="shared" si="1"/>
        <v>0</v>
      </c>
      <c r="E52" s="16">
        <f t="shared" si="2"/>
        <v>0</v>
      </c>
      <c r="F52" s="16"/>
      <c r="G52" s="16">
        <f t="shared" si="3"/>
        <v>0</v>
      </c>
    </row>
    <row r="53" spans="2:7" x14ac:dyDescent="0.25">
      <c r="B53" s="10">
        <v>43</v>
      </c>
      <c r="C53" s="16">
        <f t="shared" si="4"/>
        <v>0</v>
      </c>
      <c r="D53" s="16">
        <f t="shared" si="1"/>
        <v>0</v>
      </c>
      <c r="E53" s="16">
        <f t="shared" si="2"/>
        <v>0</v>
      </c>
      <c r="F53" s="16"/>
      <c r="G53" s="16">
        <f t="shared" si="3"/>
        <v>0</v>
      </c>
    </row>
    <row r="54" spans="2:7" x14ac:dyDescent="0.25">
      <c r="B54" s="10">
        <v>44</v>
      </c>
      <c r="C54" s="16">
        <f t="shared" si="4"/>
        <v>0</v>
      </c>
      <c r="D54" s="16">
        <f t="shared" si="1"/>
        <v>0</v>
      </c>
      <c r="E54" s="16">
        <f t="shared" si="2"/>
        <v>0</v>
      </c>
      <c r="F54" s="16"/>
      <c r="G54" s="16">
        <f t="shared" si="3"/>
        <v>0</v>
      </c>
    </row>
    <row r="55" spans="2:7" x14ac:dyDescent="0.25">
      <c r="B55" s="10">
        <v>45</v>
      </c>
      <c r="C55" s="16">
        <f t="shared" si="4"/>
        <v>0</v>
      </c>
      <c r="D55" s="16">
        <f t="shared" si="1"/>
        <v>0</v>
      </c>
      <c r="E55" s="16">
        <f t="shared" si="2"/>
        <v>0</v>
      </c>
      <c r="F55" s="16"/>
      <c r="G55" s="16">
        <f t="shared" si="3"/>
        <v>0</v>
      </c>
    </row>
    <row r="56" spans="2:7" x14ac:dyDescent="0.25">
      <c r="B56" s="10">
        <v>46</v>
      </c>
      <c r="C56" s="16">
        <f t="shared" si="4"/>
        <v>0</v>
      </c>
      <c r="D56" s="16">
        <f t="shared" si="1"/>
        <v>0</v>
      </c>
      <c r="E56" s="16">
        <f t="shared" si="2"/>
        <v>0</v>
      </c>
      <c r="F56" s="16"/>
      <c r="G56" s="16">
        <f t="shared" si="3"/>
        <v>0</v>
      </c>
    </row>
    <row r="57" spans="2:7" x14ac:dyDescent="0.25">
      <c r="B57" s="10">
        <v>47</v>
      </c>
      <c r="C57" s="16">
        <f t="shared" si="4"/>
        <v>0</v>
      </c>
      <c r="D57" s="16">
        <f t="shared" si="1"/>
        <v>0</v>
      </c>
      <c r="E57" s="16">
        <f t="shared" si="2"/>
        <v>0</v>
      </c>
      <c r="F57" s="16"/>
      <c r="G57" s="16">
        <f t="shared" si="3"/>
        <v>0</v>
      </c>
    </row>
    <row r="58" spans="2:7" x14ac:dyDescent="0.25">
      <c r="B58" s="10">
        <v>48</v>
      </c>
      <c r="C58" s="16">
        <f t="shared" si="4"/>
        <v>0</v>
      </c>
      <c r="D58" s="16">
        <f t="shared" si="1"/>
        <v>0</v>
      </c>
      <c r="E58" s="16">
        <f t="shared" si="2"/>
        <v>0</v>
      </c>
      <c r="F58" s="16"/>
      <c r="G58" s="16">
        <f t="shared" si="3"/>
        <v>0</v>
      </c>
    </row>
    <row r="59" spans="2:7" x14ac:dyDescent="0.25">
      <c r="C59" s="9"/>
      <c r="D59" s="9"/>
      <c r="E59" s="9"/>
      <c r="F59" s="9"/>
      <c r="G59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7F711-F273-4C2D-98B4-18E07D2DDCA1}">
  <dimension ref="B2:G370"/>
  <sheetViews>
    <sheetView workbookViewId="0">
      <selection activeCell="E2" sqref="E2:F5"/>
    </sheetView>
  </sheetViews>
  <sheetFormatPr defaultRowHeight="15" x14ac:dyDescent="0.25"/>
  <cols>
    <col min="2" max="7" width="15.7109375" customWidth="1"/>
  </cols>
  <sheetData>
    <row r="2" spans="2:7" x14ac:dyDescent="0.25">
      <c r="B2" s="20" t="s">
        <v>2</v>
      </c>
      <c r="C2" s="5">
        <v>300000</v>
      </c>
      <c r="E2" s="21" t="s">
        <v>14</v>
      </c>
      <c r="F2" s="13">
        <v>279767.34999999998</v>
      </c>
    </row>
    <row r="3" spans="2:7" x14ac:dyDescent="0.25">
      <c r="B3" s="20" t="s">
        <v>3</v>
      </c>
      <c r="C3" s="7">
        <v>0.05</v>
      </c>
      <c r="E3" s="21" t="s">
        <v>15</v>
      </c>
      <c r="F3" s="13">
        <f>SUMIF(D11:D370, "&gt;0")</f>
        <v>279767.35285310925</v>
      </c>
    </row>
    <row r="4" spans="2:7" x14ac:dyDescent="0.25">
      <c r="B4" s="20" t="s">
        <v>4</v>
      </c>
      <c r="C4" s="6">
        <f>C3/12</f>
        <v>4.1666666666666666E-3</v>
      </c>
      <c r="E4" s="21" t="s">
        <v>16</v>
      </c>
      <c r="F4" s="13">
        <f>F2-F3</f>
        <v>-2.8531092684715986E-3</v>
      </c>
    </row>
    <row r="5" spans="2:7" x14ac:dyDescent="0.25">
      <c r="B5" s="20" t="s">
        <v>5</v>
      </c>
      <c r="C5" s="4">
        <v>30</v>
      </c>
      <c r="E5" s="21" t="s">
        <v>20</v>
      </c>
      <c r="F5" s="17">
        <f>COUNTIF(C11:C370,"&gt;0")</f>
        <v>360</v>
      </c>
    </row>
    <row r="6" spans="2:7" x14ac:dyDescent="0.25">
      <c r="B6" s="20" t="s">
        <v>6</v>
      </c>
      <c r="C6" s="3">
        <f>C5*12</f>
        <v>360</v>
      </c>
    </row>
    <row r="7" spans="2:7" x14ac:dyDescent="0.25">
      <c r="B7" s="20" t="s">
        <v>7</v>
      </c>
      <c r="C7" s="8">
        <f>-PMT(C4,C6,C2)</f>
        <v>1610.4648690364172</v>
      </c>
    </row>
    <row r="9" spans="2:7" x14ac:dyDescent="0.25">
      <c r="B9" s="22" t="s">
        <v>8</v>
      </c>
      <c r="C9" s="22" t="s">
        <v>9</v>
      </c>
      <c r="D9" s="22" t="s">
        <v>10</v>
      </c>
      <c r="E9" s="22" t="s">
        <v>11</v>
      </c>
      <c r="F9" s="22" t="s">
        <v>12</v>
      </c>
      <c r="G9" s="22" t="s">
        <v>13</v>
      </c>
    </row>
    <row r="10" spans="2:7" x14ac:dyDescent="0.25">
      <c r="B10" s="10">
        <v>0</v>
      </c>
      <c r="C10" s="16"/>
      <c r="D10" s="16"/>
      <c r="E10" s="16"/>
      <c r="F10" s="16"/>
      <c r="G10" s="16">
        <f>C2</f>
        <v>300000</v>
      </c>
    </row>
    <row r="11" spans="2:7" x14ac:dyDescent="0.25">
      <c r="B11" s="10">
        <v>1</v>
      </c>
      <c r="C11" s="16">
        <f>$C$7</f>
        <v>1610.4648690364172</v>
      </c>
      <c r="D11" s="16">
        <f>G10*$C$4</f>
        <v>1250</v>
      </c>
      <c r="E11" s="16">
        <f>C11-D11</f>
        <v>360.46486903641721</v>
      </c>
      <c r="F11" s="16"/>
      <c r="G11" s="16">
        <f>G10-F11-E11</f>
        <v>299639.5351309636</v>
      </c>
    </row>
    <row r="12" spans="2:7" x14ac:dyDescent="0.25">
      <c r="B12" s="10">
        <v>2</v>
      </c>
      <c r="C12" s="16">
        <f t="shared" ref="C12:C24" si="0">$C$7</f>
        <v>1610.4648690364172</v>
      </c>
      <c r="D12" s="16">
        <f t="shared" ref="D12:D58" si="1">G11*$C$4</f>
        <v>1248.4980630456816</v>
      </c>
      <c r="E12" s="16">
        <f t="shared" ref="E12:E58" si="2">C12-D12</f>
        <v>361.96680599073557</v>
      </c>
      <c r="F12" s="16"/>
      <c r="G12" s="16">
        <f t="shared" ref="G12:G58" si="3">G11-F12-E12</f>
        <v>299277.56832497288</v>
      </c>
    </row>
    <row r="13" spans="2:7" x14ac:dyDescent="0.25">
      <c r="B13" s="10">
        <v>3</v>
      </c>
      <c r="C13" s="16">
        <f t="shared" si="0"/>
        <v>1610.4648690364172</v>
      </c>
      <c r="D13" s="16">
        <f t="shared" si="1"/>
        <v>1246.9898680207202</v>
      </c>
      <c r="E13" s="16">
        <f t="shared" si="2"/>
        <v>363.47500101569699</v>
      </c>
      <c r="F13" s="16"/>
      <c r="G13" s="16">
        <f t="shared" si="3"/>
        <v>298914.09332395718</v>
      </c>
    </row>
    <row r="14" spans="2:7" x14ac:dyDescent="0.25">
      <c r="B14" s="10">
        <v>4</v>
      </c>
      <c r="C14" s="16">
        <f t="shared" si="0"/>
        <v>1610.4648690364172</v>
      </c>
      <c r="D14" s="16">
        <f t="shared" si="1"/>
        <v>1245.4753888498215</v>
      </c>
      <c r="E14" s="16">
        <f t="shared" si="2"/>
        <v>364.98948018659576</v>
      </c>
      <c r="F14" s="16"/>
      <c r="G14" s="16">
        <f t="shared" si="3"/>
        <v>298549.10384377057</v>
      </c>
    </row>
    <row r="15" spans="2:7" x14ac:dyDescent="0.25">
      <c r="B15" s="10">
        <v>5</v>
      </c>
      <c r="C15" s="16">
        <f t="shared" si="0"/>
        <v>1610.4648690364172</v>
      </c>
      <c r="D15" s="16">
        <f t="shared" si="1"/>
        <v>1243.954599349044</v>
      </c>
      <c r="E15" s="16">
        <f t="shared" si="2"/>
        <v>366.51026968737324</v>
      </c>
      <c r="F15" s="16"/>
      <c r="G15" s="16">
        <f t="shared" si="3"/>
        <v>298182.59357408318</v>
      </c>
    </row>
    <row r="16" spans="2:7" x14ac:dyDescent="0.25">
      <c r="B16" s="10">
        <v>6</v>
      </c>
      <c r="C16" s="16">
        <f t="shared" si="0"/>
        <v>1610.4648690364172</v>
      </c>
      <c r="D16" s="16">
        <f t="shared" si="1"/>
        <v>1242.4274732253466</v>
      </c>
      <c r="E16" s="16">
        <f t="shared" si="2"/>
        <v>368.03739581107061</v>
      </c>
      <c r="F16" s="16"/>
      <c r="G16" s="16">
        <f t="shared" si="3"/>
        <v>297814.55617827212</v>
      </c>
    </row>
    <row r="17" spans="2:7" x14ac:dyDescent="0.25">
      <c r="B17" s="10">
        <v>7</v>
      </c>
      <c r="C17" s="16">
        <f t="shared" si="0"/>
        <v>1610.4648690364172</v>
      </c>
      <c r="D17" s="16">
        <f t="shared" si="1"/>
        <v>1240.8939840761338</v>
      </c>
      <c r="E17" s="16">
        <f t="shared" si="2"/>
        <v>369.57088496028337</v>
      </c>
      <c r="F17" s="16"/>
      <c r="G17" s="16">
        <f t="shared" si="3"/>
        <v>297444.98529331182</v>
      </c>
    </row>
    <row r="18" spans="2:7" x14ac:dyDescent="0.25">
      <c r="B18" s="10">
        <v>8</v>
      </c>
      <c r="C18" s="16">
        <f t="shared" si="0"/>
        <v>1610.4648690364172</v>
      </c>
      <c r="D18" s="16">
        <f t="shared" si="1"/>
        <v>1239.3541053887993</v>
      </c>
      <c r="E18" s="16">
        <f t="shared" si="2"/>
        <v>371.11076364761789</v>
      </c>
      <c r="F18" s="16"/>
      <c r="G18" s="16">
        <f t="shared" si="3"/>
        <v>297073.87452966423</v>
      </c>
    </row>
    <row r="19" spans="2:7" x14ac:dyDescent="0.25">
      <c r="B19" s="10">
        <v>9</v>
      </c>
      <c r="C19" s="16">
        <f t="shared" si="0"/>
        <v>1610.4648690364172</v>
      </c>
      <c r="D19" s="16">
        <f t="shared" si="1"/>
        <v>1237.8078105402676</v>
      </c>
      <c r="E19" s="16">
        <f t="shared" si="2"/>
        <v>372.6570584961496</v>
      </c>
      <c r="F19" s="16"/>
      <c r="G19" s="16">
        <f t="shared" si="3"/>
        <v>296701.21747116809</v>
      </c>
    </row>
    <row r="20" spans="2:7" x14ac:dyDescent="0.25">
      <c r="B20" s="10">
        <v>10</v>
      </c>
      <c r="C20" s="16">
        <f t="shared" si="0"/>
        <v>1610.4648690364172</v>
      </c>
      <c r="D20" s="16">
        <f t="shared" si="1"/>
        <v>1236.2550727965336</v>
      </c>
      <c r="E20" s="16">
        <f t="shared" si="2"/>
        <v>374.20979623988364</v>
      </c>
      <c r="F20" s="16"/>
      <c r="G20" s="16">
        <f t="shared" si="3"/>
        <v>296327.00767492823</v>
      </c>
    </row>
    <row r="21" spans="2:7" x14ac:dyDescent="0.25">
      <c r="B21" s="10">
        <v>11</v>
      </c>
      <c r="C21" s="16">
        <f t="shared" si="0"/>
        <v>1610.4648690364172</v>
      </c>
      <c r="D21" s="16">
        <f t="shared" si="1"/>
        <v>1234.695865312201</v>
      </c>
      <c r="E21" s="16">
        <f t="shared" si="2"/>
        <v>375.76900372421619</v>
      </c>
      <c r="F21" s="16"/>
      <c r="G21" s="16">
        <f t="shared" si="3"/>
        <v>295951.23867120402</v>
      </c>
    </row>
    <row r="22" spans="2:7" x14ac:dyDescent="0.25">
      <c r="B22" s="10">
        <v>12</v>
      </c>
      <c r="C22" s="16">
        <f t="shared" si="0"/>
        <v>1610.4648690364172</v>
      </c>
      <c r="D22" s="16">
        <f t="shared" si="1"/>
        <v>1233.1301611300166</v>
      </c>
      <c r="E22" s="16">
        <f t="shared" si="2"/>
        <v>377.33470790640058</v>
      </c>
      <c r="F22" s="16"/>
      <c r="G22" s="16">
        <f t="shared" si="3"/>
        <v>295573.90396329761</v>
      </c>
    </row>
    <row r="23" spans="2:7" x14ac:dyDescent="0.25">
      <c r="B23" s="10">
        <v>13</v>
      </c>
      <c r="C23" s="16">
        <f t="shared" si="0"/>
        <v>1610.4648690364172</v>
      </c>
      <c r="D23" s="16">
        <f t="shared" si="1"/>
        <v>1231.5579331804067</v>
      </c>
      <c r="E23" s="16">
        <f t="shared" si="2"/>
        <v>378.90693585601048</v>
      </c>
      <c r="F23" s="16"/>
      <c r="G23" s="16">
        <f t="shared" si="3"/>
        <v>295194.99702744157</v>
      </c>
    </row>
    <row r="24" spans="2:7" x14ac:dyDescent="0.25">
      <c r="B24" s="10">
        <v>14</v>
      </c>
      <c r="C24" s="16">
        <f t="shared" si="0"/>
        <v>1610.4648690364172</v>
      </c>
      <c r="D24" s="16">
        <f t="shared" si="1"/>
        <v>1229.9791542810065</v>
      </c>
      <c r="E24" s="16">
        <f t="shared" si="2"/>
        <v>380.48571475541075</v>
      </c>
      <c r="F24" s="16"/>
      <c r="G24" s="16">
        <f t="shared" si="3"/>
        <v>294814.51131268614</v>
      </c>
    </row>
    <row r="25" spans="2:7" x14ac:dyDescent="0.25">
      <c r="B25" s="10">
        <v>15</v>
      </c>
      <c r="C25" s="16">
        <f>IF(G24&lt;$C$7,G24*(1+$C$4),$C$7)</f>
        <v>1610.4648690364172</v>
      </c>
      <c r="D25" s="16">
        <f t="shared" si="1"/>
        <v>1228.3937971361922</v>
      </c>
      <c r="E25" s="16">
        <f t="shared" si="2"/>
        <v>382.07107190022498</v>
      </c>
      <c r="F25" s="16"/>
      <c r="G25" s="16">
        <f t="shared" si="3"/>
        <v>294432.44024078589</v>
      </c>
    </row>
    <row r="26" spans="2:7" x14ac:dyDescent="0.25">
      <c r="B26" s="10">
        <v>16</v>
      </c>
      <c r="C26" s="16">
        <f t="shared" ref="C26:C58" si="4">IF(G25&lt;$C$7,G25*(1+$C$4),$C$7)</f>
        <v>1610.4648690364172</v>
      </c>
      <c r="D26" s="16">
        <f t="shared" si="1"/>
        <v>1226.801834336608</v>
      </c>
      <c r="E26" s="16">
        <f t="shared" si="2"/>
        <v>383.66303469980926</v>
      </c>
      <c r="F26" s="16"/>
      <c r="G26" s="16">
        <f t="shared" si="3"/>
        <v>294048.77720608609</v>
      </c>
    </row>
    <row r="27" spans="2:7" x14ac:dyDescent="0.25">
      <c r="B27" s="10">
        <v>17</v>
      </c>
      <c r="C27" s="16">
        <f t="shared" si="4"/>
        <v>1610.4648690364172</v>
      </c>
      <c r="D27" s="16">
        <f t="shared" si="1"/>
        <v>1225.203238358692</v>
      </c>
      <c r="E27" s="16">
        <f t="shared" si="2"/>
        <v>385.26163067772518</v>
      </c>
      <c r="F27" s="16"/>
      <c r="G27" s="16">
        <f t="shared" si="3"/>
        <v>293663.51557540835</v>
      </c>
    </row>
    <row r="28" spans="2:7" x14ac:dyDescent="0.25">
      <c r="B28" s="10">
        <v>18</v>
      </c>
      <c r="C28" s="16">
        <f t="shared" si="4"/>
        <v>1610.4648690364172</v>
      </c>
      <c r="D28" s="16">
        <f t="shared" si="1"/>
        <v>1223.5979815642015</v>
      </c>
      <c r="E28" s="16">
        <f t="shared" si="2"/>
        <v>386.86688747221569</v>
      </c>
      <c r="F28" s="16"/>
      <c r="G28" s="16">
        <f t="shared" si="3"/>
        <v>293276.64868793613</v>
      </c>
    </row>
    <row r="29" spans="2:7" x14ac:dyDescent="0.25">
      <c r="B29" s="10">
        <v>19</v>
      </c>
      <c r="C29" s="16">
        <f t="shared" si="4"/>
        <v>1610.4648690364172</v>
      </c>
      <c r="D29" s="16">
        <f t="shared" si="1"/>
        <v>1221.9860361997339</v>
      </c>
      <c r="E29" s="16">
        <f t="shared" si="2"/>
        <v>388.4788328366833</v>
      </c>
      <c r="F29" s="16"/>
      <c r="G29" s="16">
        <f t="shared" si="3"/>
        <v>292888.16985509946</v>
      </c>
    </row>
    <row r="30" spans="2:7" x14ac:dyDescent="0.25">
      <c r="B30" s="10">
        <v>20</v>
      </c>
      <c r="C30" s="16">
        <f t="shared" si="4"/>
        <v>1610.4648690364172</v>
      </c>
      <c r="D30" s="16">
        <f t="shared" si="1"/>
        <v>1220.3673743962477</v>
      </c>
      <c r="E30" s="16">
        <f t="shared" si="2"/>
        <v>390.09749464016954</v>
      </c>
      <c r="F30" s="16"/>
      <c r="G30" s="16">
        <f t="shared" si="3"/>
        <v>292498.07236045931</v>
      </c>
    </row>
    <row r="31" spans="2:7" x14ac:dyDescent="0.25">
      <c r="B31" s="10">
        <v>21</v>
      </c>
      <c r="C31" s="16">
        <f t="shared" si="4"/>
        <v>1610.4648690364172</v>
      </c>
      <c r="D31" s="16">
        <f t="shared" si="1"/>
        <v>1218.7419681685803</v>
      </c>
      <c r="E31" s="16">
        <f t="shared" si="2"/>
        <v>391.72290086783687</v>
      </c>
      <c r="F31" s="16"/>
      <c r="G31" s="16">
        <f t="shared" si="3"/>
        <v>292106.3494595915</v>
      </c>
    </row>
    <row r="32" spans="2:7" x14ac:dyDescent="0.25">
      <c r="B32" s="10">
        <v>22</v>
      </c>
      <c r="C32" s="16">
        <f t="shared" si="4"/>
        <v>1610.4648690364172</v>
      </c>
      <c r="D32" s="16">
        <f t="shared" si="1"/>
        <v>1217.1097894149646</v>
      </c>
      <c r="E32" s="16">
        <f t="shared" si="2"/>
        <v>393.35507962145266</v>
      </c>
      <c r="F32" s="16"/>
      <c r="G32" s="16">
        <f t="shared" si="3"/>
        <v>291712.99437997007</v>
      </c>
    </row>
    <row r="33" spans="2:7" x14ac:dyDescent="0.25">
      <c r="B33" s="10">
        <v>23</v>
      </c>
      <c r="C33" s="16">
        <f t="shared" si="4"/>
        <v>1610.4648690364172</v>
      </c>
      <c r="D33" s="16">
        <f t="shared" si="1"/>
        <v>1215.4708099165418</v>
      </c>
      <c r="E33" s="16">
        <f t="shared" si="2"/>
        <v>394.99405911987537</v>
      </c>
      <c r="F33" s="16"/>
      <c r="G33" s="16">
        <f t="shared" si="3"/>
        <v>291318.00032085017</v>
      </c>
    </row>
    <row r="34" spans="2:7" x14ac:dyDescent="0.25">
      <c r="B34" s="10">
        <v>24</v>
      </c>
      <c r="C34" s="16">
        <f t="shared" si="4"/>
        <v>1610.4648690364172</v>
      </c>
      <c r="D34" s="16">
        <f t="shared" si="1"/>
        <v>1213.8250013368756</v>
      </c>
      <c r="E34" s="16">
        <f t="shared" si="2"/>
        <v>396.63986769954158</v>
      </c>
      <c r="F34" s="16"/>
      <c r="G34" s="16">
        <f t="shared" si="3"/>
        <v>290921.36045315064</v>
      </c>
    </row>
    <row r="35" spans="2:7" x14ac:dyDescent="0.25">
      <c r="B35" s="10">
        <v>25</v>
      </c>
      <c r="C35" s="16">
        <f t="shared" si="4"/>
        <v>1610.4648690364172</v>
      </c>
      <c r="D35" s="16">
        <f t="shared" si="1"/>
        <v>1212.172335221461</v>
      </c>
      <c r="E35" s="16">
        <f t="shared" si="2"/>
        <v>398.29253381495619</v>
      </c>
      <c r="F35" s="16"/>
      <c r="G35" s="16">
        <f t="shared" si="3"/>
        <v>290523.06791933568</v>
      </c>
    </row>
    <row r="36" spans="2:7" x14ac:dyDescent="0.25">
      <c r="B36" s="10">
        <v>26</v>
      </c>
      <c r="C36" s="16">
        <f t="shared" si="4"/>
        <v>1610.4648690364172</v>
      </c>
      <c r="D36" s="16">
        <f t="shared" si="1"/>
        <v>1210.5127829972321</v>
      </c>
      <c r="E36" s="16">
        <f t="shared" si="2"/>
        <v>399.95208603918513</v>
      </c>
      <c r="F36" s="16"/>
      <c r="G36" s="16">
        <f t="shared" si="3"/>
        <v>290123.1158332965</v>
      </c>
    </row>
    <row r="37" spans="2:7" x14ac:dyDescent="0.25">
      <c r="B37" s="10">
        <v>27</v>
      </c>
      <c r="C37" s="16">
        <f t="shared" si="4"/>
        <v>1610.4648690364172</v>
      </c>
      <c r="D37" s="16">
        <f t="shared" si="1"/>
        <v>1208.8463159720686</v>
      </c>
      <c r="E37" s="16">
        <f t="shared" si="2"/>
        <v>401.61855306434859</v>
      </c>
      <c r="F37" s="16"/>
      <c r="G37" s="16">
        <f t="shared" si="3"/>
        <v>289721.49728023214</v>
      </c>
    </row>
    <row r="38" spans="2:7" x14ac:dyDescent="0.25">
      <c r="B38" s="10">
        <v>28</v>
      </c>
      <c r="C38" s="16">
        <f t="shared" si="4"/>
        <v>1610.4648690364172</v>
      </c>
      <c r="D38" s="16">
        <f t="shared" si="1"/>
        <v>1207.1729053343006</v>
      </c>
      <c r="E38" s="16">
        <f t="shared" si="2"/>
        <v>403.29196370211662</v>
      </c>
      <c r="F38" s="16"/>
      <c r="G38" s="16">
        <f t="shared" si="3"/>
        <v>289318.20531653002</v>
      </c>
    </row>
    <row r="39" spans="2:7" x14ac:dyDescent="0.25">
      <c r="B39" s="10">
        <v>29</v>
      </c>
      <c r="C39" s="16">
        <f t="shared" si="4"/>
        <v>1610.4648690364172</v>
      </c>
      <c r="D39" s="16">
        <f t="shared" si="1"/>
        <v>1205.4925221522085</v>
      </c>
      <c r="E39" s="16">
        <f t="shared" si="2"/>
        <v>404.97234688420872</v>
      </c>
      <c r="F39" s="16"/>
      <c r="G39" s="16">
        <f t="shared" si="3"/>
        <v>288913.23296964582</v>
      </c>
    </row>
    <row r="40" spans="2:7" x14ac:dyDescent="0.25">
      <c r="B40" s="10">
        <v>30</v>
      </c>
      <c r="C40" s="16">
        <f t="shared" si="4"/>
        <v>1610.4648690364172</v>
      </c>
      <c r="D40" s="16">
        <f t="shared" si="1"/>
        <v>1203.8051373735243</v>
      </c>
      <c r="E40" s="16">
        <f t="shared" si="2"/>
        <v>406.65973166289291</v>
      </c>
      <c r="F40" s="16"/>
      <c r="G40" s="16">
        <f t="shared" si="3"/>
        <v>288506.57323798293</v>
      </c>
    </row>
    <row r="41" spans="2:7" x14ac:dyDescent="0.25">
      <c r="B41" s="10">
        <v>31</v>
      </c>
      <c r="C41" s="16">
        <f t="shared" si="4"/>
        <v>1610.4648690364172</v>
      </c>
      <c r="D41" s="16">
        <f t="shared" si="1"/>
        <v>1202.1107218249288</v>
      </c>
      <c r="E41" s="16">
        <f t="shared" si="2"/>
        <v>408.35414721148845</v>
      </c>
      <c r="F41" s="16"/>
      <c r="G41" s="16">
        <f t="shared" si="3"/>
        <v>288098.21909077145</v>
      </c>
    </row>
    <row r="42" spans="2:7" x14ac:dyDescent="0.25">
      <c r="B42" s="10">
        <v>32</v>
      </c>
      <c r="C42" s="16">
        <f t="shared" si="4"/>
        <v>1610.4648690364172</v>
      </c>
      <c r="D42" s="16">
        <f t="shared" si="1"/>
        <v>1200.4092462115477</v>
      </c>
      <c r="E42" s="16">
        <f t="shared" si="2"/>
        <v>410.05562282486949</v>
      </c>
      <c r="F42" s="16"/>
      <c r="G42" s="16">
        <f t="shared" si="3"/>
        <v>287688.16346794658</v>
      </c>
    </row>
    <row r="43" spans="2:7" x14ac:dyDescent="0.25">
      <c r="B43" s="10">
        <v>33</v>
      </c>
      <c r="C43" s="16">
        <f t="shared" si="4"/>
        <v>1610.4648690364172</v>
      </c>
      <c r="D43" s="16">
        <f t="shared" si="1"/>
        <v>1198.700681116444</v>
      </c>
      <c r="E43" s="16">
        <f t="shared" si="2"/>
        <v>411.76418791997321</v>
      </c>
      <c r="F43" s="16"/>
      <c r="G43" s="16">
        <f t="shared" si="3"/>
        <v>287276.39928002661</v>
      </c>
    </row>
    <row r="44" spans="2:7" x14ac:dyDescent="0.25">
      <c r="B44" s="10">
        <v>34</v>
      </c>
      <c r="C44" s="16">
        <f t="shared" si="4"/>
        <v>1610.4648690364172</v>
      </c>
      <c r="D44" s="16">
        <f t="shared" si="1"/>
        <v>1196.984997000111</v>
      </c>
      <c r="E44" s="16">
        <f t="shared" si="2"/>
        <v>413.47987203630623</v>
      </c>
      <c r="F44" s="16"/>
      <c r="G44" s="16">
        <f t="shared" si="3"/>
        <v>286862.9194079903</v>
      </c>
    </row>
    <row r="45" spans="2:7" x14ac:dyDescent="0.25">
      <c r="B45" s="10">
        <v>35</v>
      </c>
      <c r="C45" s="16">
        <f t="shared" si="4"/>
        <v>1610.4648690364172</v>
      </c>
      <c r="D45" s="16">
        <f t="shared" si="1"/>
        <v>1195.2621641999594</v>
      </c>
      <c r="E45" s="16">
        <f t="shared" si="2"/>
        <v>415.20270483645777</v>
      </c>
      <c r="F45" s="16"/>
      <c r="G45" s="16">
        <f t="shared" si="3"/>
        <v>286447.71670315386</v>
      </c>
    </row>
    <row r="46" spans="2:7" x14ac:dyDescent="0.25">
      <c r="B46" s="10">
        <v>36</v>
      </c>
      <c r="C46" s="16">
        <f t="shared" si="4"/>
        <v>1610.4648690364172</v>
      </c>
      <c r="D46" s="16">
        <f t="shared" si="1"/>
        <v>1193.5321529298078</v>
      </c>
      <c r="E46" s="16">
        <f t="shared" si="2"/>
        <v>416.9327161066094</v>
      </c>
      <c r="F46" s="16"/>
      <c r="G46" s="16">
        <f t="shared" si="3"/>
        <v>286030.78398704727</v>
      </c>
    </row>
    <row r="47" spans="2:7" x14ac:dyDescent="0.25">
      <c r="B47" s="10">
        <v>37</v>
      </c>
      <c r="C47" s="16">
        <f t="shared" si="4"/>
        <v>1610.4648690364172</v>
      </c>
      <c r="D47" s="16">
        <f t="shared" si="1"/>
        <v>1191.7949332793637</v>
      </c>
      <c r="E47" s="16">
        <f t="shared" si="2"/>
        <v>418.66993575705351</v>
      </c>
      <c r="F47" s="16"/>
      <c r="G47" s="16">
        <f t="shared" si="3"/>
        <v>285612.11405129021</v>
      </c>
    </row>
    <row r="48" spans="2:7" x14ac:dyDescent="0.25">
      <c r="B48" s="10">
        <v>38</v>
      </c>
      <c r="C48" s="16">
        <f t="shared" si="4"/>
        <v>1610.4648690364172</v>
      </c>
      <c r="D48" s="16">
        <f t="shared" si="1"/>
        <v>1190.0504752137092</v>
      </c>
      <c r="E48" s="16">
        <f t="shared" si="2"/>
        <v>420.41439382270801</v>
      </c>
      <c r="F48" s="16"/>
      <c r="G48" s="16">
        <f t="shared" si="3"/>
        <v>285191.69965746748</v>
      </c>
    </row>
    <row r="49" spans="2:7" x14ac:dyDescent="0.25">
      <c r="B49" s="10">
        <v>39</v>
      </c>
      <c r="C49" s="16">
        <f t="shared" si="4"/>
        <v>1610.4648690364172</v>
      </c>
      <c r="D49" s="16">
        <f t="shared" si="1"/>
        <v>1188.2987485727813</v>
      </c>
      <c r="E49" s="16">
        <f t="shared" si="2"/>
        <v>422.16612046363593</v>
      </c>
      <c r="F49" s="16"/>
      <c r="G49" s="16">
        <f t="shared" si="3"/>
        <v>284769.53353700385</v>
      </c>
    </row>
    <row r="50" spans="2:7" x14ac:dyDescent="0.25">
      <c r="B50" s="10">
        <v>40</v>
      </c>
      <c r="C50" s="16">
        <f t="shared" si="4"/>
        <v>1610.4648690364172</v>
      </c>
      <c r="D50" s="16">
        <f t="shared" si="1"/>
        <v>1186.5397230708493</v>
      </c>
      <c r="E50" s="16">
        <f t="shared" si="2"/>
        <v>423.92514596556794</v>
      </c>
      <c r="F50" s="16"/>
      <c r="G50" s="16">
        <f t="shared" si="3"/>
        <v>284345.60839103826</v>
      </c>
    </row>
    <row r="51" spans="2:7" x14ac:dyDescent="0.25">
      <c r="B51" s="10">
        <v>41</v>
      </c>
      <c r="C51" s="16">
        <f t="shared" si="4"/>
        <v>1610.4648690364172</v>
      </c>
      <c r="D51" s="16">
        <f t="shared" si="1"/>
        <v>1184.7733682959927</v>
      </c>
      <c r="E51" s="16">
        <f t="shared" si="2"/>
        <v>425.69150074042454</v>
      </c>
      <c r="F51" s="16"/>
      <c r="G51" s="16">
        <f t="shared" si="3"/>
        <v>283919.91689029784</v>
      </c>
    </row>
    <row r="52" spans="2:7" x14ac:dyDescent="0.25">
      <c r="B52" s="10">
        <v>42</v>
      </c>
      <c r="C52" s="16">
        <f t="shared" si="4"/>
        <v>1610.4648690364172</v>
      </c>
      <c r="D52" s="16">
        <f t="shared" si="1"/>
        <v>1182.9996537095744</v>
      </c>
      <c r="E52" s="16">
        <f t="shared" si="2"/>
        <v>427.46521532684278</v>
      </c>
      <c r="F52" s="16"/>
      <c r="G52" s="16">
        <f t="shared" si="3"/>
        <v>283492.45167497097</v>
      </c>
    </row>
    <row r="53" spans="2:7" x14ac:dyDescent="0.25">
      <c r="B53" s="10">
        <v>43</v>
      </c>
      <c r="C53" s="16">
        <f t="shared" si="4"/>
        <v>1610.4648690364172</v>
      </c>
      <c r="D53" s="16">
        <f t="shared" si="1"/>
        <v>1181.2185486457124</v>
      </c>
      <c r="E53" s="16">
        <f t="shared" si="2"/>
        <v>429.2463203907048</v>
      </c>
      <c r="F53" s="16"/>
      <c r="G53" s="16">
        <f t="shared" si="3"/>
        <v>283063.20535458025</v>
      </c>
    </row>
    <row r="54" spans="2:7" x14ac:dyDescent="0.25">
      <c r="B54" s="10">
        <v>44</v>
      </c>
      <c r="C54" s="16">
        <f t="shared" si="4"/>
        <v>1610.4648690364172</v>
      </c>
      <c r="D54" s="16">
        <f t="shared" si="1"/>
        <v>1179.4300223107509</v>
      </c>
      <c r="E54" s="16">
        <f t="shared" si="2"/>
        <v>431.03484672566628</v>
      </c>
      <c r="F54" s="16"/>
      <c r="G54" s="16">
        <f t="shared" si="3"/>
        <v>282632.17050785461</v>
      </c>
    </row>
    <row r="55" spans="2:7" x14ac:dyDescent="0.25">
      <c r="B55" s="10">
        <v>45</v>
      </c>
      <c r="C55" s="16">
        <f t="shared" si="4"/>
        <v>1610.4648690364172</v>
      </c>
      <c r="D55" s="16">
        <f t="shared" si="1"/>
        <v>1177.6340437827275</v>
      </c>
      <c r="E55" s="16">
        <f t="shared" si="2"/>
        <v>432.83082525368968</v>
      </c>
      <c r="F55" s="16"/>
      <c r="G55" s="16">
        <f t="shared" si="3"/>
        <v>282199.33968260093</v>
      </c>
    </row>
    <row r="56" spans="2:7" x14ac:dyDescent="0.25">
      <c r="B56" s="10">
        <v>46</v>
      </c>
      <c r="C56" s="16">
        <f t="shared" si="4"/>
        <v>1610.4648690364172</v>
      </c>
      <c r="D56" s="16">
        <f t="shared" si="1"/>
        <v>1175.8305820108371</v>
      </c>
      <c r="E56" s="16">
        <f t="shared" si="2"/>
        <v>434.63428702558008</v>
      </c>
      <c r="F56" s="16"/>
      <c r="G56" s="16">
        <f t="shared" si="3"/>
        <v>281764.70539557532</v>
      </c>
    </row>
    <row r="57" spans="2:7" x14ac:dyDescent="0.25">
      <c r="B57" s="10">
        <v>47</v>
      </c>
      <c r="C57" s="16">
        <f t="shared" si="4"/>
        <v>1610.4648690364172</v>
      </c>
      <c r="D57" s="16">
        <f t="shared" si="1"/>
        <v>1174.0196058148972</v>
      </c>
      <c r="E57" s="16">
        <f t="shared" si="2"/>
        <v>436.44526322152001</v>
      </c>
      <c r="F57" s="16"/>
      <c r="G57" s="16">
        <f t="shared" si="3"/>
        <v>281328.26013235381</v>
      </c>
    </row>
    <row r="58" spans="2:7" x14ac:dyDescent="0.25">
      <c r="B58" s="10">
        <v>48</v>
      </c>
      <c r="C58" s="16">
        <f t="shared" si="4"/>
        <v>1610.4648690364172</v>
      </c>
      <c r="D58" s="16">
        <f t="shared" si="1"/>
        <v>1172.2010838848075</v>
      </c>
      <c r="E58" s="16">
        <f t="shared" si="2"/>
        <v>438.26378515160968</v>
      </c>
      <c r="F58" s="16"/>
      <c r="G58" s="16">
        <f t="shared" si="3"/>
        <v>280889.99634720222</v>
      </c>
    </row>
    <row r="59" spans="2:7" x14ac:dyDescent="0.25">
      <c r="B59" s="10">
        <v>49</v>
      </c>
      <c r="C59" s="16">
        <f t="shared" ref="C59:C69" si="5">IF(G58&lt;$C$7,G58*(1+$C$4),$C$7)</f>
        <v>1610.4648690364172</v>
      </c>
      <c r="D59" s="16">
        <f t="shared" ref="D59:D69" si="6">G58*$C$4</f>
        <v>1170.3749847800093</v>
      </c>
      <c r="E59" s="16">
        <f t="shared" ref="E59:E69" si="7">C59-D59</f>
        <v>440.08988425640791</v>
      </c>
      <c r="F59" s="16"/>
      <c r="G59" s="16">
        <f t="shared" ref="G59:G69" si="8">G58-F59-E59</f>
        <v>280449.9064629458</v>
      </c>
    </row>
    <row r="60" spans="2:7" x14ac:dyDescent="0.25">
      <c r="B60" s="10">
        <v>50</v>
      </c>
      <c r="C60" s="16">
        <f t="shared" si="5"/>
        <v>1610.4648690364172</v>
      </c>
      <c r="D60" s="16">
        <f t="shared" si="6"/>
        <v>1168.5412769289408</v>
      </c>
      <c r="E60" s="16">
        <f t="shared" si="7"/>
        <v>441.92359210747645</v>
      </c>
      <c r="F60" s="16"/>
      <c r="G60" s="16">
        <f t="shared" si="8"/>
        <v>280007.98287083831</v>
      </c>
    </row>
    <row r="61" spans="2:7" x14ac:dyDescent="0.25">
      <c r="B61" s="10">
        <v>51</v>
      </c>
      <c r="C61" s="16">
        <f t="shared" si="5"/>
        <v>1610.4648690364172</v>
      </c>
      <c r="D61" s="16">
        <f t="shared" si="6"/>
        <v>1166.6999286284929</v>
      </c>
      <c r="E61" s="16">
        <f t="shared" si="7"/>
        <v>443.76494040792431</v>
      </c>
      <c r="F61" s="16"/>
      <c r="G61" s="16">
        <f t="shared" si="8"/>
        <v>279564.21793043037</v>
      </c>
    </row>
    <row r="62" spans="2:7" x14ac:dyDescent="0.25">
      <c r="B62" s="10">
        <v>52</v>
      </c>
      <c r="C62" s="16">
        <f t="shared" si="5"/>
        <v>1610.4648690364172</v>
      </c>
      <c r="D62" s="16">
        <f t="shared" si="6"/>
        <v>1164.8509080434599</v>
      </c>
      <c r="E62" s="16">
        <f t="shared" si="7"/>
        <v>445.61396099295735</v>
      </c>
      <c r="F62" s="16"/>
      <c r="G62" s="16">
        <f t="shared" si="8"/>
        <v>279118.60396943742</v>
      </c>
    </row>
    <row r="63" spans="2:7" x14ac:dyDescent="0.25">
      <c r="B63" s="10">
        <v>53</v>
      </c>
      <c r="C63" s="16">
        <f t="shared" si="5"/>
        <v>1610.4648690364172</v>
      </c>
      <c r="D63" s="16">
        <f t="shared" si="6"/>
        <v>1162.9941832059892</v>
      </c>
      <c r="E63" s="16">
        <f t="shared" si="7"/>
        <v>447.47068583042801</v>
      </c>
      <c r="F63" s="16"/>
      <c r="G63" s="16">
        <f t="shared" si="8"/>
        <v>278671.13328360696</v>
      </c>
    </row>
    <row r="64" spans="2:7" x14ac:dyDescent="0.25">
      <c r="B64" s="10">
        <v>54</v>
      </c>
      <c r="C64" s="16">
        <f t="shared" si="5"/>
        <v>1610.4648690364172</v>
      </c>
      <c r="D64" s="16">
        <f t="shared" si="6"/>
        <v>1161.1297220150291</v>
      </c>
      <c r="E64" s="16">
        <f t="shared" si="7"/>
        <v>449.33514702138814</v>
      </c>
      <c r="F64" s="16"/>
      <c r="G64" s="16">
        <f t="shared" si="8"/>
        <v>278221.79813658557</v>
      </c>
    </row>
    <row r="65" spans="2:7" x14ac:dyDescent="0.25">
      <c r="B65" s="10">
        <v>55</v>
      </c>
      <c r="C65" s="16">
        <f t="shared" si="5"/>
        <v>1610.4648690364172</v>
      </c>
      <c r="D65" s="16">
        <f t="shared" si="6"/>
        <v>1159.2574922357733</v>
      </c>
      <c r="E65" s="16">
        <f t="shared" si="7"/>
        <v>451.20737680064394</v>
      </c>
      <c r="F65" s="16"/>
      <c r="G65" s="16">
        <f t="shared" si="8"/>
        <v>277770.59075978491</v>
      </c>
    </row>
    <row r="66" spans="2:7" x14ac:dyDescent="0.25">
      <c r="B66" s="10">
        <v>56</v>
      </c>
      <c r="C66" s="16">
        <f t="shared" si="5"/>
        <v>1610.4648690364172</v>
      </c>
      <c r="D66" s="16">
        <f t="shared" si="6"/>
        <v>1157.3774614991039</v>
      </c>
      <c r="E66" s="16">
        <f t="shared" si="7"/>
        <v>453.08740753731331</v>
      </c>
      <c r="F66" s="16"/>
      <c r="G66" s="16">
        <f t="shared" si="8"/>
        <v>277317.50335224759</v>
      </c>
    </row>
    <row r="67" spans="2:7" x14ac:dyDescent="0.25">
      <c r="B67" s="10">
        <v>57</v>
      </c>
      <c r="C67" s="16">
        <f t="shared" si="5"/>
        <v>1610.4648690364172</v>
      </c>
      <c r="D67" s="16">
        <f t="shared" si="6"/>
        <v>1155.4895973010316</v>
      </c>
      <c r="E67" s="16">
        <f t="shared" si="7"/>
        <v>454.9752717353856</v>
      </c>
      <c r="F67" s="16"/>
      <c r="G67" s="16">
        <f t="shared" si="8"/>
        <v>276862.52808051219</v>
      </c>
    </row>
    <row r="68" spans="2:7" x14ac:dyDescent="0.25">
      <c r="B68" s="10">
        <v>58</v>
      </c>
      <c r="C68" s="16">
        <f t="shared" si="5"/>
        <v>1610.4648690364172</v>
      </c>
      <c r="D68" s="16">
        <f t="shared" si="6"/>
        <v>1153.5938670021342</v>
      </c>
      <c r="E68" s="16">
        <f t="shared" si="7"/>
        <v>456.87100203428304</v>
      </c>
      <c r="F68" s="16"/>
      <c r="G68" s="16">
        <f t="shared" si="8"/>
        <v>276405.6570784779</v>
      </c>
    </row>
    <row r="69" spans="2:7" x14ac:dyDescent="0.25">
      <c r="B69" s="10">
        <v>59</v>
      </c>
      <c r="C69" s="16">
        <f t="shared" si="5"/>
        <v>1610.4648690364172</v>
      </c>
      <c r="D69" s="16">
        <f t="shared" si="6"/>
        <v>1151.6902378269913</v>
      </c>
      <c r="E69" s="16">
        <f t="shared" si="7"/>
        <v>458.77463120942593</v>
      </c>
      <c r="F69" s="16"/>
      <c r="G69" s="16">
        <f t="shared" si="8"/>
        <v>275946.88244726846</v>
      </c>
    </row>
    <row r="70" spans="2:7" x14ac:dyDescent="0.25">
      <c r="B70" s="10">
        <v>60</v>
      </c>
      <c r="C70" s="16">
        <f t="shared" ref="C70:C133" si="9">IF(G69&lt;$C$7,G69*(1+$C$4),$C$7)</f>
        <v>1610.4648690364172</v>
      </c>
      <c r="D70" s="16">
        <f t="shared" ref="D70:D133" si="10">G69*$C$4</f>
        <v>1149.7786768636186</v>
      </c>
      <c r="E70" s="16">
        <f t="shared" ref="E70:E133" si="11">C70-D70</f>
        <v>460.68619217279866</v>
      </c>
      <c r="F70" s="16"/>
      <c r="G70" s="16">
        <f t="shared" ref="G70:G133" si="12">G69-F70-E70</f>
        <v>275486.19625509565</v>
      </c>
    </row>
    <row r="71" spans="2:7" x14ac:dyDescent="0.25">
      <c r="B71" s="10">
        <v>61</v>
      </c>
      <c r="C71" s="16">
        <f t="shared" si="9"/>
        <v>1610.4648690364172</v>
      </c>
      <c r="D71" s="16">
        <f t="shared" si="10"/>
        <v>1147.8591510628985</v>
      </c>
      <c r="E71" s="16">
        <f t="shared" si="11"/>
        <v>462.60571797351872</v>
      </c>
      <c r="F71" s="16"/>
      <c r="G71" s="16">
        <f t="shared" si="12"/>
        <v>275023.59053712216</v>
      </c>
    </row>
    <row r="72" spans="2:7" x14ac:dyDescent="0.25">
      <c r="B72" s="10">
        <v>62</v>
      </c>
      <c r="C72" s="16">
        <f t="shared" si="9"/>
        <v>1610.4648690364172</v>
      </c>
      <c r="D72" s="16">
        <f t="shared" si="10"/>
        <v>1145.931627238009</v>
      </c>
      <c r="E72" s="16">
        <f t="shared" si="11"/>
        <v>464.5332417984082</v>
      </c>
      <c r="F72" s="16"/>
      <c r="G72" s="16">
        <f t="shared" si="12"/>
        <v>274559.05729532376</v>
      </c>
    </row>
    <row r="73" spans="2:7" x14ac:dyDescent="0.25">
      <c r="B73" s="10">
        <v>63</v>
      </c>
      <c r="C73" s="16">
        <f t="shared" si="9"/>
        <v>1610.4648690364172</v>
      </c>
      <c r="D73" s="16">
        <f t="shared" si="10"/>
        <v>1143.9960720638489</v>
      </c>
      <c r="E73" s="16">
        <f t="shared" si="11"/>
        <v>466.46879697256827</v>
      </c>
      <c r="F73" s="16"/>
      <c r="G73" s="16">
        <f t="shared" si="12"/>
        <v>274092.58849835116</v>
      </c>
    </row>
    <row r="74" spans="2:7" x14ac:dyDescent="0.25">
      <c r="B74" s="10">
        <v>64</v>
      </c>
      <c r="C74" s="16">
        <f t="shared" si="9"/>
        <v>1610.4648690364172</v>
      </c>
      <c r="D74" s="16">
        <f t="shared" si="10"/>
        <v>1142.0524520764632</v>
      </c>
      <c r="E74" s="16">
        <f t="shared" si="11"/>
        <v>468.41241695995404</v>
      </c>
      <c r="F74" s="16"/>
      <c r="G74" s="16">
        <f t="shared" si="12"/>
        <v>273624.17608139123</v>
      </c>
    </row>
    <row r="75" spans="2:7" x14ac:dyDescent="0.25">
      <c r="B75" s="10">
        <v>65</v>
      </c>
      <c r="C75" s="16">
        <f t="shared" si="9"/>
        <v>1610.4648690364172</v>
      </c>
      <c r="D75" s="16">
        <f t="shared" si="10"/>
        <v>1140.1007336724633</v>
      </c>
      <c r="E75" s="16">
        <f t="shared" si="11"/>
        <v>470.36413536395389</v>
      </c>
      <c r="F75" s="16"/>
      <c r="G75" s="16">
        <f t="shared" si="12"/>
        <v>273153.81194602727</v>
      </c>
    </row>
    <row r="76" spans="2:7" x14ac:dyDescent="0.25">
      <c r="B76" s="10">
        <v>66</v>
      </c>
      <c r="C76" s="16">
        <f t="shared" si="9"/>
        <v>1610.4648690364172</v>
      </c>
      <c r="D76" s="16">
        <f t="shared" si="10"/>
        <v>1138.140883108447</v>
      </c>
      <c r="E76" s="16">
        <f t="shared" si="11"/>
        <v>472.32398592797017</v>
      </c>
      <c r="F76" s="16"/>
      <c r="G76" s="16">
        <f t="shared" si="12"/>
        <v>272681.4879600993</v>
      </c>
    </row>
    <row r="77" spans="2:7" x14ac:dyDescent="0.25">
      <c r="B77" s="10">
        <v>67</v>
      </c>
      <c r="C77" s="16">
        <f t="shared" si="9"/>
        <v>1610.4648690364172</v>
      </c>
      <c r="D77" s="16">
        <f t="shared" si="10"/>
        <v>1136.1728665004136</v>
      </c>
      <c r="E77" s="16">
        <f t="shared" si="11"/>
        <v>474.29200253600357</v>
      </c>
      <c r="F77" s="16"/>
      <c r="G77" s="16">
        <f t="shared" si="12"/>
        <v>272207.19595756329</v>
      </c>
    </row>
    <row r="78" spans="2:7" x14ac:dyDescent="0.25">
      <c r="B78" s="10">
        <v>68</v>
      </c>
      <c r="C78" s="16">
        <f t="shared" si="9"/>
        <v>1610.4648690364172</v>
      </c>
      <c r="D78" s="16">
        <f t="shared" si="10"/>
        <v>1134.1966498231805</v>
      </c>
      <c r="E78" s="16">
        <f t="shared" si="11"/>
        <v>476.26821921323676</v>
      </c>
      <c r="F78" s="16"/>
      <c r="G78" s="16">
        <f t="shared" si="12"/>
        <v>271730.92773835006</v>
      </c>
    </row>
    <row r="79" spans="2:7" x14ac:dyDescent="0.25">
      <c r="B79" s="10">
        <v>69</v>
      </c>
      <c r="C79" s="16">
        <f t="shared" si="9"/>
        <v>1610.4648690364172</v>
      </c>
      <c r="D79" s="16">
        <f t="shared" si="10"/>
        <v>1132.2121989097918</v>
      </c>
      <c r="E79" s="16">
        <f t="shared" si="11"/>
        <v>478.25267012662539</v>
      </c>
      <c r="F79" s="16"/>
      <c r="G79" s="16">
        <f t="shared" si="12"/>
        <v>271252.67506822344</v>
      </c>
    </row>
    <row r="80" spans="2:7" x14ac:dyDescent="0.25">
      <c r="B80" s="10">
        <v>70</v>
      </c>
      <c r="C80" s="16">
        <f t="shared" si="9"/>
        <v>1610.4648690364172</v>
      </c>
      <c r="D80" s="16">
        <f t="shared" si="10"/>
        <v>1130.219479450931</v>
      </c>
      <c r="E80" s="16">
        <f t="shared" si="11"/>
        <v>480.24538958548624</v>
      </c>
      <c r="F80" s="16"/>
      <c r="G80" s="16">
        <f t="shared" si="12"/>
        <v>270772.42967863794</v>
      </c>
    </row>
    <row r="81" spans="2:7" x14ac:dyDescent="0.25">
      <c r="B81" s="10">
        <v>71</v>
      </c>
      <c r="C81" s="16">
        <f t="shared" si="9"/>
        <v>1610.4648690364172</v>
      </c>
      <c r="D81" s="16">
        <f t="shared" si="10"/>
        <v>1128.2184569943247</v>
      </c>
      <c r="E81" s="16">
        <f t="shared" si="11"/>
        <v>482.24641204209252</v>
      </c>
      <c r="F81" s="16"/>
      <c r="G81" s="16">
        <f t="shared" si="12"/>
        <v>270290.18326659582</v>
      </c>
    </row>
    <row r="82" spans="2:7" x14ac:dyDescent="0.25">
      <c r="B82" s="10">
        <v>72</v>
      </c>
      <c r="C82" s="16">
        <f t="shared" si="9"/>
        <v>1610.4648690364172</v>
      </c>
      <c r="D82" s="16">
        <f t="shared" si="10"/>
        <v>1126.2090969441492</v>
      </c>
      <c r="E82" s="16">
        <f t="shared" si="11"/>
        <v>484.25577209226799</v>
      </c>
      <c r="F82" s="16"/>
      <c r="G82" s="16">
        <f t="shared" si="12"/>
        <v>269805.92749450356</v>
      </c>
    </row>
    <row r="83" spans="2:7" x14ac:dyDescent="0.25">
      <c r="B83" s="10">
        <v>73</v>
      </c>
      <c r="C83" s="16">
        <f t="shared" si="9"/>
        <v>1610.4648690364172</v>
      </c>
      <c r="D83" s="16">
        <f t="shared" si="10"/>
        <v>1124.1913645604316</v>
      </c>
      <c r="E83" s="16">
        <f t="shared" si="11"/>
        <v>486.27350447598565</v>
      </c>
      <c r="F83" s="16"/>
      <c r="G83" s="16">
        <f t="shared" si="12"/>
        <v>269319.65399002755</v>
      </c>
    </row>
    <row r="84" spans="2:7" x14ac:dyDescent="0.25">
      <c r="B84" s="10">
        <v>74</v>
      </c>
      <c r="C84" s="16">
        <f t="shared" si="9"/>
        <v>1610.4648690364172</v>
      </c>
      <c r="D84" s="16">
        <f t="shared" si="10"/>
        <v>1122.1652249584481</v>
      </c>
      <c r="E84" s="16">
        <f t="shared" si="11"/>
        <v>488.29964407796911</v>
      </c>
      <c r="F84" s="16"/>
      <c r="G84" s="16">
        <f t="shared" si="12"/>
        <v>268831.3543459496</v>
      </c>
    </row>
    <row r="85" spans="2:7" x14ac:dyDescent="0.25">
      <c r="B85" s="10">
        <v>75</v>
      </c>
      <c r="C85" s="16">
        <f t="shared" si="9"/>
        <v>1610.4648690364172</v>
      </c>
      <c r="D85" s="16">
        <f t="shared" si="10"/>
        <v>1120.1306431081234</v>
      </c>
      <c r="E85" s="16">
        <f t="shared" si="11"/>
        <v>490.33422592829379</v>
      </c>
      <c r="F85" s="16"/>
      <c r="G85" s="16">
        <f t="shared" si="12"/>
        <v>268341.02012002131</v>
      </c>
    </row>
    <row r="86" spans="2:7" x14ac:dyDescent="0.25">
      <c r="B86" s="10">
        <v>76</v>
      </c>
      <c r="C86" s="16">
        <f t="shared" si="9"/>
        <v>1610.4648690364172</v>
      </c>
      <c r="D86" s="16">
        <f t="shared" si="10"/>
        <v>1118.0875838334221</v>
      </c>
      <c r="E86" s="16">
        <f t="shared" si="11"/>
        <v>492.37728520299515</v>
      </c>
      <c r="F86" s="16"/>
      <c r="G86" s="16">
        <f t="shared" si="12"/>
        <v>267848.64283481828</v>
      </c>
    </row>
    <row r="87" spans="2:7" x14ac:dyDescent="0.25">
      <c r="B87" s="10">
        <v>77</v>
      </c>
      <c r="C87" s="16">
        <f t="shared" si="9"/>
        <v>1610.4648690364172</v>
      </c>
      <c r="D87" s="16">
        <f t="shared" si="10"/>
        <v>1116.0360118117428</v>
      </c>
      <c r="E87" s="16">
        <f t="shared" si="11"/>
        <v>494.4288572246744</v>
      </c>
      <c r="F87" s="16"/>
      <c r="G87" s="16">
        <f t="shared" si="12"/>
        <v>267354.21397759358</v>
      </c>
    </row>
    <row r="88" spans="2:7" x14ac:dyDescent="0.25">
      <c r="B88" s="10">
        <v>78</v>
      </c>
      <c r="C88" s="16">
        <f t="shared" si="9"/>
        <v>1610.4648690364172</v>
      </c>
      <c r="D88" s="16">
        <f t="shared" si="10"/>
        <v>1113.9758915733066</v>
      </c>
      <c r="E88" s="16">
        <f t="shared" si="11"/>
        <v>496.48897746311059</v>
      </c>
      <c r="F88" s="16"/>
      <c r="G88" s="16">
        <f t="shared" si="12"/>
        <v>266857.72500013048</v>
      </c>
    </row>
    <row r="89" spans="2:7" x14ac:dyDescent="0.25">
      <c r="B89" s="10">
        <v>79</v>
      </c>
      <c r="C89" s="16">
        <f t="shared" si="9"/>
        <v>1610.4648690364172</v>
      </c>
      <c r="D89" s="16">
        <f t="shared" si="10"/>
        <v>1111.9071875005436</v>
      </c>
      <c r="E89" s="16">
        <f t="shared" si="11"/>
        <v>498.5576815358736</v>
      </c>
      <c r="F89" s="16"/>
      <c r="G89" s="16">
        <f t="shared" si="12"/>
        <v>266359.16731859458</v>
      </c>
    </row>
    <row r="90" spans="2:7" x14ac:dyDescent="0.25">
      <c r="B90" s="10">
        <v>80</v>
      </c>
      <c r="C90" s="16">
        <f t="shared" si="9"/>
        <v>1610.4648690364172</v>
      </c>
      <c r="D90" s="16">
        <f t="shared" si="10"/>
        <v>1109.8298638274773</v>
      </c>
      <c r="E90" s="16">
        <f t="shared" si="11"/>
        <v>500.6350052089399</v>
      </c>
      <c r="F90" s="16"/>
      <c r="G90" s="16">
        <f t="shared" si="12"/>
        <v>265858.53231338563</v>
      </c>
    </row>
    <row r="91" spans="2:7" x14ac:dyDescent="0.25">
      <c r="B91" s="10">
        <v>81</v>
      </c>
      <c r="C91" s="16">
        <f t="shared" si="9"/>
        <v>1610.4648690364172</v>
      </c>
      <c r="D91" s="16">
        <f t="shared" si="10"/>
        <v>1107.7438846391067</v>
      </c>
      <c r="E91" s="16">
        <f t="shared" si="11"/>
        <v>502.72098439731053</v>
      </c>
      <c r="F91" s="16"/>
      <c r="G91" s="16">
        <f t="shared" si="12"/>
        <v>265355.81132898829</v>
      </c>
    </row>
    <row r="92" spans="2:7" x14ac:dyDescent="0.25">
      <c r="B92" s="10">
        <v>82</v>
      </c>
      <c r="C92" s="16">
        <f t="shared" si="9"/>
        <v>1610.4648690364172</v>
      </c>
      <c r="D92" s="16">
        <f t="shared" si="10"/>
        <v>1105.6492138707845</v>
      </c>
      <c r="E92" s="16">
        <f t="shared" si="11"/>
        <v>504.81565516563273</v>
      </c>
      <c r="F92" s="16"/>
      <c r="G92" s="16">
        <f t="shared" si="12"/>
        <v>264850.99567382265</v>
      </c>
    </row>
    <row r="93" spans="2:7" x14ac:dyDescent="0.25">
      <c r="B93" s="10">
        <v>83</v>
      </c>
      <c r="C93" s="16">
        <f t="shared" si="9"/>
        <v>1610.4648690364172</v>
      </c>
      <c r="D93" s="16">
        <f t="shared" si="10"/>
        <v>1103.5458153075942</v>
      </c>
      <c r="E93" s="16">
        <f t="shared" si="11"/>
        <v>506.91905372882297</v>
      </c>
      <c r="F93" s="16"/>
      <c r="G93" s="16">
        <f t="shared" si="12"/>
        <v>264344.07662009384</v>
      </c>
    </row>
    <row r="94" spans="2:7" x14ac:dyDescent="0.25">
      <c r="B94" s="10">
        <v>84</v>
      </c>
      <c r="C94" s="16">
        <f t="shared" si="9"/>
        <v>1610.4648690364172</v>
      </c>
      <c r="D94" s="16">
        <f t="shared" si="10"/>
        <v>1101.4336525837243</v>
      </c>
      <c r="E94" s="16">
        <f t="shared" si="11"/>
        <v>509.03121645269289</v>
      </c>
      <c r="F94" s="16"/>
      <c r="G94" s="16">
        <f t="shared" si="12"/>
        <v>263835.04540364112</v>
      </c>
    </row>
    <row r="95" spans="2:7" x14ac:dyDescent="0.25">
      <c r="B95" s="10">
        <v>85</v>
      </c>
      <c r="C95" s="16">
        <f t="shared" si="9"/>
        <v>1610.4648690364172</v>
      </c>
      <c r="D95" s="16">
        <f t="shared" si="10"/>
        <v>1099.3126891818381</v>
      </c>
      <c r="E95" s="16">
        <f t="shared" si="11"/>
        <v>511.15217985457912</v>
      </c>
      <c r="F95" s="16"/>
      <c r="G95" s="16">
        <f t="shared" si="12"/>
        <v>263323.89322378655</v>
      </c>
    </row>
    <row r="96" spans="2:7" x14ac:dyDescent="0.25">
      <c r="B96" s="10">
        <v>86</v>
      </c>
      <c r="C96" s="16">
        <f t="shared" si="9"/>
        <v>1610.4648690364172</v>
      </c>
      <c r="D96" s="16">
        <f t="shared" si="10"/>
        <v>1097.1828884324439</v>
      </c>
      <c r="E96" s="16">
        <f t="shared" si="11"/>
        <v>513.28198060397335</v>
      </c>
      <c r="F96" s="16"/>
      <c r="G96" s="16">
        <f t="shared" si="12"/>
        <v>262810.61124318256</v>
      </c>
    </row>
    <row r="97" spans="2:7" x14ac:dyDescent="0.25">
      <c r="B97" s="10">
        <v>87</v>
      </c>
      <c r="C97" s="16">
        <f t="shared" si="9"/>
        <v>1610.4648690364172</v>
      </c>
      <c r="D97" s="16">
        <f t="shared" si="10"/>
        <v>1095.0442135132607</v>
      </c>
      <c r="E97" s="16">
        <f t="shared" si="11"/>
        <v>515.42065552315648</v>
      </c>
      <c r="F97" s="16"/>
      <c r="G97" s="16">
        <f t="shared" si="12"/>
        <v>262295.19058765942</v>
      </c>
    </row>
    <row r="98" spans="2:7" x14ac:dyDescent="0.25">
      <c r="B98" s="10">
        <v>88</v>
      </c>
      <c r="C98" s="16">
        <f t="shared" si="9"/>
        <v>1610.4648690364172</v>
      </c>
      <c r="D98" s="16">
        <f t="shared" si="10"/>
        <v>1092.8966274485808</v>
      </c>
      <c r="E98" s="16">
        <f t="shared" si="11"/>
        <v>517.56824158783638</v>
      </c>
      <c r="F98" s="16"/>
      <c r="G98" s="16">
        <f t="shared" si="12"/>
        <v>261777.62234607158</v>
      </c>
    </row>
    <row r="99" spans="2:7" x14ac:dyDescent="0.25">
      <c r="B99" s="10">
        <v>89</v>
      </c>
      <c r="C99" s="16">
        <f t="shared" si="9"/>
        <v>1610.4648690364172</v>
      </c>
      <c r="D99" s="16">
        <f t="shared" si="10"/>
        <v>1090.7400931086315</v>
      </c>
      <c r="E99" s="16">
        <f t="shared" si="11"/>
        <v>519.72477592778569</v>
      </c>
      <c r="F99" s="16"/>
      <c r="G99" s="16">
        <f t="shared" si="12"/>
        <v>261257.8975701438</v>
      </c>
    </row>
    <row r="100" spans="2:7" x14ac:dyDescent="0.25">
      <c r="B100" s="10">
        <v>90</v>
      </c>
      <c r="C100" s="16">
        <f t="shared" si="9"/>
        <v>1610.4648690364172</v>
      </c>
      <c r="D100" s="16">
        <f t="shared" si="10"/>
        <v>1088.5745732089324</v>
      </c>
      <c r="E100" s="16">
        <f t="shared" si="11"/>
        <v>521.89029582748481</v>
      </c>
      <c r="F100" s="16"/>
      <c r="G100" s="16">
        <f t="shared" si="12"/>
        <v>260736.00727431633</v>
      </c>
    </row>
    <row r="101" spans="2:7" x14ac:dyDescent="0.25">
      <c r="B101" s="10">
        <v>91</v>
      </c>
      <c r="C101" s="16">
        <f t="shared" si="9"/>
        <v>1610.4648690364172</v>
      </c>
      <c r="D101" s="16">
        <f t="shared" si="10"/>
        <v>1086.4000303096514</v>
      </c>
      <c r="E101" s="16">
        <f t="shared" si="11"/>
        <v>524.06483872676586</v>
      </c>
      <c r="F101" s="16"/>
      <c r="G101" s="16">
        <f t="shared" si="12"/>
        <v>260211.94243558956</v>
      </c>
    </row>
    <row r="102" spans="2:7" x14ac:dyDescent="0.25">
      <c r="B102" s="10">
        <v>92</v>
      </c>
      <c r="C102" s="16">
        <f t="shared" si="9"/>
        <v>1610.4648690364172</v>
      </c>
      <c r="D102" s="16">
        <f t="shared" si="10"/>
        <v>1084.2164268149565</v>
      </c>
      <c r="E102" s="16">
        <f t="shared" si="11"/>
        <v>526.24844222146066</v>
      </c>
      <c r="F102" s="16"/>
      <c r="G102" s="16">
        <f t="shared" si="12"/>
        <v>259685.6939933681</v>
      </c>
    </row>
    <row r="103" spans="2:7" x14ac:dyDescent="0.25">
      <c r="B103" s="10">
        <v>93</v>
      </c>
      <c r="C103" s="16">
        <f t="shared" si="9"/>
        <v>1610.4648690364172</v>
      </c>
      <c r="D103" s="16">
        <f t="shared" si="10"/>
        <v>1082.0237249723671</v>
      </c>
      <c r="E103" s="16">
        <f t="shared" si="11"/>
        <v>528.44114406405015</v>
      </c>
      <c r="F103" s="16"/>
      <c r="G103" s="16">
        <f t="shared" si="12"/>
        <v>259157.25284930406</v>
      </c>
    </row>
    <row r="104" spans="2:7" x14ac:dyDescent="0.25">
      <c r="B104" s="10">
        <v>94</v>
      </c>
      <c r="C104" s="16">
        <f t="shared" si="9"/>
        <v>1610.4648690364172</v>
      </c>
      <c r="D104" s="16">
        <f t="shared" si="10"/>
        <v>1079.8218868721003</v>
      </c>
      <c r="E104" s="16">
        <f t="shared" si="11"/>
        <v>530.64298216431689</v>
      </c>
      <c r="F104" s="16"/>
      <c r="G104" s="16">
        <f t="shared" si="12"/>
        <v>258626.60986713975</v>
      </c>
    </row>
    <row r="105" spans="2:7" x14ac:dyDescent="0.25">
      <c r="B105" s="10">
        <v>95</v>
      </c>
      <c r="C105" s="16">
        <f t="shared" si="9"/>
        <v>1610.4648690364172</v>
      </c>
      <c r="D105" s="16">
        <f t="shared" si="10"/>
        <v>1077.6108744464157</v>
      </c>
      <c r="E105" s="16">
        <f t="shared" si="11"/>
        <v>532.85399459000155</v>
      </c>
      <c r="F105" s="16"/>
      <c r="G105" s="16">
        <f t="shared" si="12"/>
        <v>258093.75587254975</v>
      </c>
    </row>
    <row r="106" spans="2:7" x14ac:dyDescent="0.25">
      <c r="B106" s="10">
        <v>96</v>
      </c>
      <c r="C106" s="16">
        <f t="shared" si="9"/>
        <v>1610.4648690364172</v>
      </c>
      <c r="D106" s="16">
        <f t="shared" si="10"/>
        <v>1075.3906494689572</v>
      </c>
      <c r="E106" s="16">
        <f t="shared" si="11"/>
        <v>535.07421956745998</v>
      </c>
      <c r="F106" s="16"/>
      <c r="G106" s="16">
        <f t="shared" si="12"/>
        <v>257558.68165298228</v>
      </c>
    </row>
    <row r="107" spans="2:7" x14ac:dyDescent="0.25">
      <c r="B107" s="10">
        <v>97</v>
      </c>
      <c r="C107" s="16">
        <f t="shared" si="9"/>
        <v>1610.4648690364172</v>
      </c>
      <c r="D107" s="16">
        <f t="shared" si="10"/>
        <v>1073.1611735540928</v>
      </c>
      <c r="E107" s="16">
        <f t="shared" si="11"/>
        <v>537.30369548232443</v>
      </c>
      <c r="F107" s="16"/>
      <c r="G107" s="16">
        <f t="shared" si="12"/>
        <v>257021.37795749996</v>
      </c>
    </row>
    <row r="108" spans="2:7" x14ac:dyDescent="0.25">
      <c r="B108" s="10">
        <v>98</v>
      </c>
      <c r="C108" s="16">
        <f t="shared" si="9"/>
        <v>1610.4648690364172</v>
      </c>
      <c r="D108" s="16">
        <f t="shared" si="10"/>
        <v>1070.9224081562497</v>
      </c>
      <c r="E108" s="16">
        <f t="shared" si="11"/>
        <v>539.54246088016748</v>
      </c>
      <c r="F108" s="16"/>
      <c r="G108" s="16">
        <f t="shared" si="12"/>
        <v>256481.83549661981</v>
      </c>
    </row>
    <row r="109" spans="2:7" x14ac:dyDescent="0.25">
      <c r="B109" s="10">
        <v>99</v>
      </c>
      <c r="C109" s="16">
        <f t="shared" si="9"/>
        <v>1610.4648690364172</v>
      </c>
      <c r="D109" s="16">
        <f t="shared" si="10"/>
        <v>1068.6743145692492</v>
      </c>
      <c r="E109" s="16">
        <f t="shared" si="11"/>
        <v>541.79055446716802</v>
      </c>
      <c r="F109" s="16"/>
      <c r="G109" s="16">
        <f t="shared" si="12"/>
        <v>255940.04494215263</v>
      </c>
    </row>
    <row r="110" spans="2:7" x14ac:dyDescent="0.25">
      <c r="B110" s="10">
        <v>100</v>
      </c>
      <c r="C110" s="16">
        <f t="shared" si="9"/>
        <v>1610.4648690364172</v>
      </c>
      <c r="D110" s="16">
        <f t="shared" si="10"/>
        <v>1066.4168539256359</v>
      </c>
      <c r="E110" s="16">
        <f t="shared" si="11"/>
        <v>544.04801511078131</v>
      </c>
      <c r="F110" s="16"/>
      <c r="G110" s="16">
        <f t="shared" si="12"/>
        <v>255395.99692704185</v>
      </c>
    </row>
    <row r="111" spans="2:7" x14ac:dyDescent="0.25">
      <c r="B111" s="10">
        <v>101</v>
      </c>
      <c r="C111" s="16">
        <f t="shared" si="9"/>
        <v>1610.4648690364172</v>
      </c>
      <c r="D111" s="16">
        <f t="shared" si="10"/>
        <v>1064.1499871960077</v>
      </c>
      <c r="E111" s="16">
        <f t="shared" si="11"/>
        <v>546.3148818404095</v>
      </c>
      <c r="F111" s="16"/>
      <c r="G111" s="16">
        <f t="shared" si="12"/>
        <v>254849.68204520145</v>
      </c>
    </row>
    <row r="112" spans="2:7" x14ac:dyDescent="0.25">
      <c r="B112" s="10">
        <v>102</v>
      </c>
      <c r="C112" s="16">
        <f t="shared" si="9"/>
        <v>1610.4648690364172</v>
      </c>
      <c r="D112" s="16">
        <f t="shared" si="10"/>
        <v>1061.8736751883393</v>
      </c>
      <c r="E112" s="16">
        <f t="shared" si="11"/>
        <v>548.59119384807786</v>
      </c>
      <c r="F112" s="16"/>
      <c r="G112" s="16">
        <f t="shared" si="12"/>
        <v>254301.09085135336</v>
      </c>
    </row>
    <row r="113" spans="2:7" x14ac:dyDescent="0.25">
      <c r="B113" s="10">
        <v>103</v>
      </c>
      <c r="C113" s="16">
        <f t="shared" si="9"/>
        <v>1610.4648690364172</v>
      </c>
      <c r="D113" s="16">
        <f t="shared" si="10"/>
        <v>1059.5878785473058</v>
      </c>
      <c r="E113" s="16">
        <f t="shared" si="11"/>
        <v>550.87699048911145</v>
      </c>
      <c r="F113" s="16"/>
      <c r="G113" s="16">
        <f t="shared" si="12"/>
        <v>253750.21386086426</v>
      </c>
    </row>
    <row r="114" spans="2:7" x14ac:dyDescent="0.25">
      <c r="B114" s="10">
        <v>104</v>
      </c>
      <c r="C114" s="16">
        <f t="shared" si="9"/>
        <v>1610.4648690364172</v>
      </c>
      <c r="D114" s="16">
        <f t="shared" si="10"/>
        <v>1057.2925577536012</v>
      </c>
      <c r="E114" s="16">
        <f t="shared" si="11"/>
        <v>553.17231128281605</v>
      </c>
      <c r="F114" s="16"/>
      <c r="G114" s="16">
        <f t="shared" si="12"/>
        <v>253197.04154958145</v>
      </c>
    </row>
    <row r="115" spans="2:7" x14ac:dyDescent="0.25">
      <c r="B115" s="10">
        <v>105</v>
      </c>
      <c r="C115" s="16">
        <f t="shared" si="9"/>
        <v>1610.4648690364172</v>
      </c>
      <c r="D115" s="16">
        <f t="shared" si="10"/>
        <v>1054.9876731232559</v>
      </c>
      <c r="E115" s="16">
        <f t="shared" si="11"/>
        <v>555.47719591316127</v>
      </c>
      <c r="F115" s="16"/>
      <c r="G115" s="16">
        <f t="shared" si="12"/>
        <v>252641.56435366831</v>
      </c>
    </row>
    <row r="116" spans="2:7" x14ac:dyDescent="0.25">
      <c r="B116" s="10">
        <v>106</v>
      </c>
      <c r="C116" s="16">
        <f t="shared" si="9"/>
        <v>1610.4648690364172</v>
      </c>
      <c r="D116" s="16">
        <f t="shared" si="10"/>
        <v>1052.6731848069512</v>
      </c>
      <c r="E116" s="16">
        <f t="shared" si="11"/>
        <v>557.791684229466</v>
      </c>
      <c r="F116" s="16"/>
      <c r="G116" s="16">
        <f t="shared" si="12"/>
        <v>252083.77266943883</v>
      </c>
    </row>
    <row r="117" spans="2:7" x14ac:dyDescent="0.25">
      <c r="B117" s="10">
        <v>107</v>
      </c>
      <c r="C117" s="16">
        <f t="shared" si="9"/>
        <v>1610.4648690364172</v>
      </c>
      <c r="D117" s="16">
        <f t="shared" si="10"/>
        <v>1050.3490527893284</v>
      </c>
      <c r="E117" s="16">
        <f t="shared" si="11"/>
        <v>560.11581624708879</v>
      </c>
      <c r="F117" s="16"/>
      <c r="G117" s="16">
        <f t="shared" si="12"/>
        <v>251523.65685319173</v>
      </c>
    </row>
    <row r="118" spans="2:7" x14ac:dyDescent="0.25">
      <c r="B118" s="10">
        <v>108</v>
      </c>
      <c r="C118" s="16">
        <f t="shared" si="9"/>
        <v>1610.4648690364172</v>
      </c>
      <c r="D118" s="16">
        <f t="shared" si="10"/>
        <v>1048.0152368882989</v>
      </c>
      <c r="E118" s="16">
        <f t="shared" si="11"/>
        <v>562.44963214811833</v>
      </c>
      <c r="F118" s="16"/>
      <c r="G118" s="16">
        <f t="shared" si="12"/>
        <v>250961.20722104362</v>
      </c>
    </row>
    <row r="119" spans="2:7" x14ac:dyDescent="0.25">
      <c r="B119" s="10">
        <v>109</v>
      </c>
      <c r="C119" s="16">
        <f t="shared" si="9"/>
        <v>1610.4648690364172</v>
      </c>
      <c r="D119" s="16">
        <f t="shared" si="10"/>
        <v>1045.6716967543484</v>
      </c>
      <c r="E119" s="16">
        <f t="shared" si="11"/>
        <v>564.79317228206878</v>
      </c>
      <c r="F119" s="16"/>
      <c r="G119" s="16">
        <f t="shared" si="12"/>
        <v>250396.41404876154</v>
      </c>
    </row>
    <row r="120" spans="2:7" x14ac:dyDescent="0.25">
      <c r="B120" s="10">
        <v>110</v>
      </c>
      <c r="C120" s="16">
        <f t="shared" si="9"/>
        <v>1610.4648690364172</v>
      </c>
      <c r="D120" s="16">
        <f t="shared" si="10"/>
        <v>1043.3183918698396</v>
      </c>
      <c r="E120" s="16">
        <f t="shared" si="11"/>
        <v>567.1464771665776</v>
      </c>
      <c r="F120" s="16"/>
      <c r="G120" s="16">
        <f t="shared" si="12"/>
        <v>249829.26757159497</v>
      </c>
    </row>
    <row r="121" spans="2:7" x14ac:dyDescent="0.25">
      <c r="B121" s="10">
        <v>111</v>
      </c>
      <c r="C121" s="16">
        <f t="shared" si="9"/>
        <v>1610.4648690364172</v>
      </c>
      <c r="D121" s="16">
        <f t="shared" si="10"/>
        <v>1040.9552815483123</v>
      </c>
      <c r="E121" s="16">
        <f t="shared" si="11"/>
        <v>569.5095874881049</v>
      </c>
      <c r="F121" s="16"/>
      <c r="G121" s="16">
        <f t="shared" si="12"/>
        <v>249259.75798410687</v>
      </c>
    </row>
    <row r="122" spans="2:7" x14ac:dyDescent="0.25">
      <c r="B122" s="10">
        <v>112</v>
      </c>
      <c r="C122" s="16">
        <f t="shared" si="9"/>
        <v>1610.4648690364172</v>
      </c>
      <c r="D122" s="16">
        <f t="shared" si="10"/>
        <v>1038.5823249337786</v>
      </c>
      <c r="E122" s="16">
        <f t="shared" si="11"/>
        <v>571.88254410263858</v>
      </c>
      <c r="F122" s="16"/>
      <c r="G122" s="16">
        <f t="shared" si="12"/>
        <v>248687.87544000422</v>
      </c>
    </row>
    <row r="123" spans="2:7" x14ac:dyDescent="0.25">
      <c r="B123" s="10">
        <v>113</v>
      </c>
      <c r="C123" s="16">
        <f t="shared" si="9"/>
        <v>1610.4648690364172</v>
      </c>
      <c r="D123" s="16">
        <f t="shared" si="10"/>
        <v>1036.1994810000176</v>
      </c>
      <c r="E123" s="16">
        <f t="shared" si="11"/>
        <v>574.2653880363996</v>
      </c>
      <c r="F123" s="16"/>
      <c r="G123" s="16">
        <f t="shared" si="12"/>
        <v>248113.61005196781</v>
      </c>
    </row>
    <row r="124" spans="2:7" x14ac:dyDescent="0.25">
      <c r="B124" s="10">
        <v>114</v>
      </c>
      <c r="C124" s="16">
        <f t="shared" si="9"/>
        <v>1610.4648690364172</v>
      </c>
      <c r="D124" s="16">
        <f t="shared" si="10"/>
        <v>1033.8067085498658</v>
      </c>
      <c r="E124" s="16">
        <f t="shared" si="11"/>
        <v>576.65816048655142</v>
      </c>
      <c r="F124" s="16"/>
      <c r="G124" s="16">
        <f t="shared" si="12"/>
        <v>247536.95189148127</v>
      </c>
    </row>
    <row r="125" spans="2:7" x14ac:dyDescent="0.25">
      <c r="B125" s="10">
        <v>115</v>
      </c>
      <c r="C125" s="16">
        <f t="shared" si="9"/>
        <v>1610.4648690364172</v>
      </c>
      <c r="D125" s="16">
        <f t="shared" si="10"/>
        <v>1031.4039662145053</v>
      </c>
      <c r="E125" s="16">
        <f t="shared" si="11"/>
        <v>579.0609028219119</v>
      </c>
      <c r="F125" s="16"/>
      <c r="G125" s="16">
        <f t="shared" si="12"/>
        <v>246957.89098865935</v>
      </c>
    </row>
    <row r="126" spans="2:7" x14ac:dyDescent="0.25">
      <c r="B126" s="10">
        <v>116</v>
      </c>
      <c r="C126" s="16">
        <f t="shared" si="9"/>
        <v>1610.4648690364172</v>
      </c>
      <c r="D126" s="16">
        <f t="shared" si="10"/>
        <v>1028.9912124527473</v>
      </c>
      <c r="E126" s="16">
        <f t="shared" si="11"/>
        <v>581.47365658366994</v>
      </c>
      <c r="F126" s="16"/>
      <c r="G126" s="16">
        <f t="shared" si="12"/>
        <v>246376.41733207568</v>
      </c>
    </row>
    <row r="127" spans="2:7" x14ac:dyDescent="0.25">
      <c r="B127" s="10">
        <v>117</v>
      </c>
      <c r="C127" s="16">
        <f t="shared" si="9"/>
        <v>1610.4648690364172</v>
      </c>
      <c r="D127" s="16">
        <f t="shared" si="10"/>
        <v>1026.5684055503152</v>
      </c>
      <c r="E127" s="16">
        <f t="shared" si="11"/>
        <v>583.89646348610199</v>
      </c>
      <c r="F127" s="16"/>
      <c r="G127" s="16">
        <f t="shared" si="12"/>
        <v>245792.52086858958</v>
      </c>
    </row>
    <row r="128" spans="2:7" x14ac:dyDescent="0.25">
      <c r="B128" s="10">
        <v>118</v>
      </c>
      <c r="C128" s="16">
        <f t="shared" si="9"/>
        <v>1610.4648690364172</v>
      </c>
      <c r="D128" s="16">
        <f t="shared" si="10"/>
        <v>1024.1355036191233</v>
      </c>
      <c r="E128" s="16">
        <f t="shared" si="11"/>
        <v>586.32936541729396</v>
      </c>
      <c r="F128" s="16"/>
      <c r="G128" s="16">
        <f t="shared" si="12"/>
        <v>245206.19150317227</v>
      </c>
    </row>
    <row r="129" spans="2:7" x14ac:dyDescent="0.25">
      <c r="B129" s="10">
        <v>119</v>
      </c>
      <c r="C129" s="16">
        <f t="shared" si="9"/>
        <v>1610.4648690364172</v>
      </c>
      <c r="D129" s="16">
        <f t="shared" si="10"/>
        <v>1021.6924645965511</v>
      </c>
      <c r="E129" s="16">
        <f t="shared" si="11"/>
        <v>588.77240443986614</v>
      </c>
      <c r="F129" s="16"/>
      <c r="G129" s="16">
        <f t="shared" si="12"/>
        <v>244617.41909873241</v>
      </c>
    </row>
    <row r="130" spans="2:7" x14ac:dyDescent="0.25">
      <c r="B130" s="10">
        <v>120</v>
      </c>
      <c r="C130" s="16">
        <f t="shared" si="9"/>
        <v>1610.4648690364172</v>
      </c>
      <c r="D130" s="16">
        <f t="shared" si="10"/>
        <v>1019.2392462447184</v>
      </c>
      <c r="E130" s="16">
        <f t="shared" si="11"/>
        <v>591.22562279169881</v>
      </c>
      <c r="F130" s="16"/>
      <c r="G130" s="16">
        <f t="shared" si="12"/>
        <v>244026.1934759407</v>
      </c>
    </row>
    <row r="131" spans="2:7" x14ac:dyDescent="0.25">
      <c r="B131" s="10">
        <v>121</v>
      </c>
      <c r="C131" s="16">
        <f t="shared" si="9"/>
        <v>1610.4648690364172</v>
      </c>
      <c r="D131" s="16">
        <f t="shared" si="10"/>
        <v>1016.775806149753</v>
      </c>
      <c r="E131" s="16">
        <f t="shared" si="11"/>
        <v>593.68906288666426</v>
      </c>
      <c r="F131" s="16"/>
      <c r="G131" s="16">
        <f t="shared" si="12"/>
        <v>243432.50441305403</v>
      </c>
    </row>
    <row r="132" spans="2:7" x14ac:dyDescent="0.25">
      <c r="B132" s="10">
        <v>122</v>
      </c>
      <c r="C132" s="16">
        <f t="shared" si="9"/>
        <v>1610.4648690364172</v>
      </c>
      <c r="D132" s="16">
        <f t="shared" si="10"/>
        <v>1014.3021017210584</v>
      </c>
      <c r="E132" s="16">
        <f t="shared" si="11"/>
        <v>596.16276731535879</v>
      </c>
      <c r="F132" s="16"/>
      <c r="G132" s="16">
        <f t="shared" si="12"/>
        <v>242836.34164573866</v>
      </c>
    </row>
    <row r="133" spans="2:7" x14ac:dyDescent="0.25">
      <c r="B133" s="10">
        <v>123</v>
      </c>
      <c r="C133" s="16">
        <f t="shared" si="9"/>
        <v>1610.4648690364172</v>
      </c>
      <c r="D133" s="16">
        <f t="shared" si="10"/>
        <v>1011.8180901905778</v>
      </c>
      <c r="E133" s="16">
        <f t="shared" si="11"/>
        <v>598.64677884583944</v>
      </c>
      <c r="F133" s="16"/>
      <c r="G133" s="16">
        <f t="shared" si="12"/>
        <v>242237.69486689282</v>
      </c>
    </row>
    <row r="134" spans="2:7" x14ac:dyDescent="0.25">
      <c r="B134" s="10">
        <v>124</v>
      </c>
      <c r="C134" s="16">
        <f t="shared" ref="C134:C197" si="13">IF(G133&lt;$C$7,G133*(1+$C$4),$C$7)</f>
        <v>1610.4648690364172</v>
      </c>
      <c r="D134" s="16">
        <f t="shared" ref="D134:D197" si="14">G133*$C$4</f>
        <v>1009.3237286120534</v>
      </c>
      <c r="E134" s="16">
        <f t="shared" ref="E134:E197" si="15">C134-D134</f>
        <v>601.14114042436381</v>
      </c>
      <c r="F134" s="16"/>
      <c r="G134" s="16">
        <f t="shared" ref="G134:G197" si="16">G133-F134-E134</f>
        <v>241636.55372646847</v>
      </c>
    </row>
    <row r="135" spans="2:7" x14ac:dyDescent="0.25">
      <c r="B135" s="10">
        <v>125</v>
      </c>
      <c r="C135" s="16">
        <f t="shared" si="13"/>
        <v>1610.4648690364172</v>
      </c>
      <c r="D135" s="16">
        <f t="shared" si="14"/>
        <v>1006.8189738602853</v>
      </c>
      <c r="E135" s="16">
        <f t="shared" si="15"/>
        <v>603.64589517613194</v>
      </c>
      <c r="F135" s="16"/>
      <c r="G135" s="16">
        <f t="shared" si="16"/>
        <v>241032.90783129234</v>
      </c>
    </row>
    <row r="136" spans="2:7" x14ac:dyDescent="0.25">
      <c r="B136" s="10">
        <v>126</v>
      </c>
      <c r="C136" s="16">
        <f t="shared" si="13"/>
        <v>1610.4648690364172</v>
      </c>
      <c r="D136" s="16">
        <f t="shared" si="14"/>
        <v>1004.3037826303847</v>
      </c>
      <c r="E136" s="16">
        <f t="shared" si="15"/>
        <v>606.1610864060325</v>
      </c>
      <c r="F136" s="16"/>
      <c r="G136" s="16">
        <f t="shared" si="16"/>
        <v>240426.7467448863</v>
      </c>
    </row>
    <row r="137" spans="2:7" x14ac:dyDescent="0.25">
      <c r="B137" s="10">
        <v>127</v>
      </c>
      <c r="C137" s="16">
        <f t="shared" si="13"/>
        <v>1610.4648690364172</v>
      </c>
      <c r="D137" s="16">
        <f t="shared" si="14"/>
        <v>1001.7781114370263</v>
      </c>
      <c r="E137" s="16">
        <f t="shared" si="15"/>
        <v>608.68675759939094</v>
      </c>
      <c r="F137" s="16"/>
      <c r="G137" s="16">
        <f t="shared" si="16"/>
        <v>239818.05998728692</v>
      </c>
    </row>
    <row r="138" spans="2:7" x14ac:dyDescent="0.25">
      <c r="B138" s="10">
        <v>128</v>
      </c>
      <c r="C138" s="16">
        <f t="shared" si="13"/>
        <v>1610.4648690364172</v>
      </c>
      <c r="D138" s="16">
        <f t="shared" si="14"/>
        <v>999.24191661369548</v>
      </c>
      <c r="E138" s="16">
        <f t="shared" si="15"/>
        <v>611.22295242272173</v>
      </c>
      <c r="F138" s="16"/>
      <c r="G138" s="16">
        <f t="shared" si="16"/>
        <v>239206.83703486421</v>
      </c>
    </row>
    <row r="139" spans="2:7" x14ac:dyDescent="0.25">
      <c r="B139" s="10">
        <v>129</v>
      </c>
      <c r="C139" s="16">
        <f t="shared" si="13"/>
        <v>1610.4648690364172</v>
      </c>
      <c r="D139" s="16">
        <f t="shared" si="14"/>
        <v>996.69515431193417</v>
      </c>
      <c r="E139" s="16">
        <f t="shared" si="15"/>
        <v>613.76971472448304</v>
      </c>
      <c r="F139" s="16"/>
      <c r="G139" s="16">
        <f t="shared" si="16"/>
        <v>238593.06732013973</v>
      </c>
    </row>
    <row r="140" spans="2:7" x14ac:dyDescent="0.25">
      <c r="B140" s="10">
        <v>130</v>
      </c>
      <c r="C140" s="16">
        <f t="shared" si="13"/>
        <v>1610.4648690364172</v>
      </c>
      <c r="D140" s="16">
        <f t="shared" si="14"/>
        <v>994.13778050058215</v>
      </c>
      <c r="E140" s="16">
        <f t="shared" si="15"/>
        <v>616.32708853583506</v>
      </c>
      <c r="F140" s="16"/>
      <c r="G140" s="16">
        <f t="shared" si="16"/>
        <v>237976.74023160391</v>
      </c>
    </row>
    <row r="141" spans="2:7" x14ac:dyDescent="0.25">
      <c r="B141" s="10">
        <v>131</v>
      </c>
      <c r="C141" s="16">
        <f t="shared" si="13"/>
        <v>1610.4648690364172</v>
      </c>
      <c r="D141" s="16">
        <f t="shared" si="14"/>
        <v>991.56975096501628</v>
      </c>
      <c r="E141" s="16">
        <f t="shared" si="15"/>
        <v>618.89511807140093</v>
      </c>
      <c r="F141" s="16"/>
      <c r="G141" s="16">
        <f t="shared" si="16"/>
        <v>237357.8451135325</v>
      </c>
    </row>
    <row r="142" spans="2:7" x14ac:dyDescent="0.25">
      <c r="B142" s="10">
        <v>132</v>
      </c>
      <c r="C142" s="16">
        <f t="shared" si="13"/>
        <v>1610.4648690364172</v>
      </c>
      <c r="D142" s="16">
        <f t="shared" si="14"/>
        <v>988.99102130638539</v>
      </c>
      <c r="E142" s="16">
        <f t="shared" si="15"/>
        <v>621.47384773003182</v>
      </c>
      <c r="F142" s="16"/>
      <c r="G142" s="16">
        <f t="shared" si="16"/>
        <v>236736.37126580247</v>
      </c>
    </row>
    <row r="143" spans="2:7" x14ac:dyDescent="0.25">
      <c r="B143" s="10">
        <v>133</v>
      </c>
      <c r="C143" s="16">
        <f t="shared" si="13"/>
        <v>1610.4648690364172</v>
      </c>
      <c r="D143" s="16">
        <f t="shared" si="14"/>
        <v>986.40154694084367</v>
      </c>
      <c r="E143" s="16">
        <f t="shared" si="15"/>
        <v>624.06332209557354</v>
      </c>
      <c r="F143" s="16"/>
      <c r="G143" s="16">
        <f t="shared" si="16"/>
        <v>236112.3079437069</v>
      </c>
    </row>
    <row r="144" spans="2:7" x14ac:dyDescent="0.25">
      <c r="B144" s="10">
        <v>134</v>
      </c>
      <c r="C144" s="16">
        <f t="shared" si="13"/>
        <v>1610.4648690364172</v>
      </c>
      <c r="D144" s="16">
        <f t="shared" si="14"/>
        <v>983.80128309877875</v>
      </c>
      <c r="E144" s="16">
        <f t="shared" si="15"/>
        <v>626.66358593763846</v>
      </c>
      <c r="F144" s="16"/>
      <c r="G144" s="16">
        <f t="shared" si="16"/>
        <v>235485.64435776926</v>
      </c>
    </row>
    <row r="145" spans="2:7" x14ac:dyDescent="0.25">
      <c r="B145" s="10">
        <v>135</v>
      </c>
      <c r="C145" s="16">
        <f t="shared" si="13"/>
        <v>1610.4648690364172</v>
      </c>
      <c r="D145" s="16">
        <f t="shared" si="14"/>
        <v>981.19018482403851</v>
      </c>
      <c r="E145" s="16">
        <f t="shared" si="15"/>
        <v>629.2746842123787</v>
      </c>
      <c r="F145" s="16"/>
      <c r="G145" s="16">
        <f t="shared" si="16"/>
        <v>234856.36967355688</v>
      </c>
    </row>
    <row r="146" spans="2:7" x14ac:dyDescent="0.25">
      <c r="B146" s="10">
        <v>136</v>
      </c>
      <c r="C146" s="16">
        <f t="shared" si="13"/>
        <v>1610.4648690364172</v>
      </c>
      <c r="D146" s="16">
        <f t="shared" si="14"/>
        <v>978.56820697315368</v>
      </c>
      <c r="E146" s="16">
        <f t="shared" si="15"/>
        <v>631.89666206326353</v>
      </c>
      <c r="F146" s="16"/>
      <c r="G146" s="16">
        <f t="shared" si="16"/>
        <v>234224.47301149362</v>
      </c>
    </row>
    <row r="147" spans="2:7" x14ac:dyDescent="0.25">
      <c r="B147" s="10">
        <v>137</v>
      </c>
      <c r="C147" s="16">
        <f t="shared" si="13"/>
        <v>1610.4648690364172</v>
      </c>
      <c r="D147" s="16">
        <f t="shared" si="14"/>
        <v>975.93530421455671</v>
      </c>
      <c r="E147" s="16">
        <f t="shared" si="15"/>
        <v>634.5295648218605</v>
      </c>
      <c r="F147" s="16"/>
      <c r="G147" s="16">
        <f t="shared" si="16"/>
        <v>233589.94344667176</v>
      </c>
    </row>
    <row r="148" spans="2:7" x14ac:dyDescent="0.25">
      <c r="B148" s="10">
        <v>138</v>
      </c>
      <c r="C148" s="16">
        <f t="shared" si="13"/>
        <v>1610.4648690364172</v>
      </c>
      <c r="D148" s="16">
        <f t="shared" si="14"/>
        <v>973.29143102779904</v>
      </c>
      <c r="E148" s="16">
        <f t="shared" si="15"/>
        <v>637.17343800861818</v>
      </c>
      <c r="F148" s="16"/>
      <c r="G148" s="16">
        <f t="shared" si="16"/>
        <v>232952.77000866315</v>
      </c>
    </row>
    <row r="149" spans="2:7" x14ac:dyDescent="0.25">
      <c r="B149" s="10">
        <v>139</v>
      </c>
      <c r="C149" s="16">
        <f t="shared" si="13"/>
        <v>1610.4648690364172</v>
      </c>
      <c r="D149" s="16">
        <f t="shared" si="14"/>
        <v>970.63654170276311</v>
      </c>
      <c r="E149" s="16">
        <f t="shared" si="15"/>
        <v>639.8283273336541</v>
      </c>
      <c r="F149" s="16"/>
      <c r="G149" s="16">
        <f t="shared" si="16"/>
        <v>232312.94168132951</v>
      </c>
    </row>
    <row r="150" spans="2:7" x14ac:dyDescent="0.25">
      <c r="B150" s="10">
        <v>140</v>
      </c>
      <c r="C150" s="16">
        <f t="shared" si="13"/>
        <v>1610.4648690364172</v>
      </c>
      <c r="D150" s="16">
        <f t="shared" si="14"/>
        <v>967.97059033887297</v>
      </c>
      <c r="E150" s="16">
        <f t="shared" si="15"/>
        <v>642.49427869754425</v>
      </c>
      <c r="F150" s="16"/>
      <c r="G150" s="16">
        <f t="shared" si="16"/>
        <v>231670.44740263198</v>
      </c>
    </row>
    <row r="151" spans="2:7" x14ac:dyDescent="0.25">
      <c r="B151" s="10">
        <v>141</v>
      </c>
      <c r="C151" s="16">
        <f t="shared" si="13"/>
        <v>1610.4648690364172</v>
      </c>
      <c r="D151" s="16">
        <f t="shared" si="14"/>
        <v>965.29353084429988</v>
      </c>
      <c r="E151" s="16">
        <f t="shared" si="15"/>
        <v>645.17133819211733</v>
      </c>
      <c r="F151" s="16"/>
      <c r="G151" s="16">
        <f t="shared" si="16"/>
        <v>231025.27606443985</v>
      </c>
    </row>
    <row r="152" spans="2:7" x14ac:dyDescent="0.25">
      <c r="B152" s="10">
        <v>142</v>
      </c>
      <c r="C152" s="16">
        <f t="shared" si="13"/>
        <v>1610.4648690364172</v>
      </c>
      <c r="D152" s="16">
        <f t="shared" si="14"/>
        <v>962.605316935166</v>
      </c>
      <c r="E152" s="16">
        <f t="shared" si="15"/>
        <v>647.85955210125121</v>
      </c>
      <c r="F152" s="16"/>
      <c r="G152" s="16">
        <f t="shared" si="16"/>
        <v>230377.41651233859</v>
      </c>
    </row>
    <row r="153" spans="2:7" x14ac:dyDescent="0.25">
      <c r="B153" s="10">
        <v>143</v>
      </c>
      <c r="C153" s="16">
        <f t="shared" si="13"/>
        <v>1610.4648690364172</v>
      </c>
      <c r="D153" s="16">
        <f t="shared" si="14"/>
        <v>959.90590213474411</v>
      </c>
      <c r="E153" s="16">
        <f t="shared" si="15"/>
        <v>650.5589669016731</v>
      </c>
      <c r="F153" s="16"/>
      <c r="G153" s="16">
        <f t="shared" si="16"/>
        <v>229726.85754543691</v>
      </c>
    </row>
    <row r="154" spans="2:7" x14ac:dyDescent="0.25">
      <c r="B154" s="10">
        <v>144</v>
      </c>
      <c r="C154" s="16">
        <f t="shared" si="13"/>
        <v>1610.4648690364172</v>
      </c>
      <c r="D154" s="16">
        <f t="shared" si="14"/>
        <v>957.19523977265374</v>
      </c>
      <c r="E154" s="16">
        <f t="shared" si="15"/>
        <v>653.26962926376348</v>
      </c>
      <c r="F154" s="16"/>
      <c r="G154" s="16">
        <f t="shared" si="16"/>
        <v>229073.58791617316</v>
      </c>
    </row>
    <row r="155" spans="2:7" x14ac:dyDescent="0.25">
      <c r="B155" s="10">
        <v>145</v>
      </c>
      <c r="C155" s="16">
        <f t="shared" si="13"/>
        <v>1610.4648690364172</v>
      </c>
      <c r="D155" s="16">
        <f t="shared" si="14"/>
        <v>954.47328298405478</v>
      </c>
      <c r="E155" s="16">
        <f t="shared" si="15"/>
        <v>655.99158605236244</v>
      </c>
      <c r="F155" s="16"/>
      <c r="G155" s="16">
        <f t="shared" si="16"/>
        <v>228417.59633012078</v>
      </c>
    </row>
    <row r="156" spans="2:7" x14ac:dyDescent="0.25">
      <c r="B156" s="10">
        <v>146</v>
      </c>
      <c r="C156" s="16">
        <f t="shared" si="13"/>
        <v>1610.4648690364172</v>
      </c>
      <c r="D156" s="16">
        <f t="shared" si="14"/>
        <v>951.73998470883657</v>
      </c>
      <c r="E156" s="16">
        <f t="shared" si="15"/>
        <v>658.72488432758064</v>
      </c>
      <c r="F156" s="16"/>
      <c r="G156" s="16">
        <f t="shared" si="16"/>
        <v>227758.87144579319</v>
      </c>
    </row>
    <row r="157" spans="2:7" x14ac:dyDescent="0.25">
      <c r="B157" s="10">
        <v>147</v>
      </c>
      <c r="C157" s="16">
        <f t="shared" si="13"/>
        <v>1610.4648690364172</v>
      </c>
      <c r="D157" s="16">
        <f t="shared" si="14"/>
        <v>948.99529769080493</v>
      </c>
      <c r="E157" s="16">
        <f t="shared" si="15"/>
        <v>661.46957134561228</v>
      </c>
      <c r="F157" s="16"/>
      <c r="G157" s="16">
        <f t="shared" si="16"/>
        <v>227097.40187444759</v>
      </c>
    </row>
    <row r="158" spans="2:7" x14ac:dyDescent="0.25">
      <c r="B158" s="10">
        <v>148</v>
      </c>
      <c r="C158" s="16">
        <f t="shared" si="13"/>
        <v>1610.4648690364172</v>
      </c>
      <c r="D158" s="16">
        <f t="shared" si="14"/>
        <v>946.23917447686495</v>
      </c>
      <c r="E158" s="16">
        <f t="shared" si="15"/>
        <v>664.22569455955227</v>
      </c>
      <c r="F158" s="16"/>
      <c r="G158" s="16">
        <f t="shared" si="16"/>
        <v>226433.17617988805</v>
      </c>
    </row>
    <row r="159" spans="2:7" x14ac:dyDescent="0.25">
      <c r="B159" s="10">
        <v>149</v>
      </c>
      <c r="C159" s="16">
        <f t="shared" si="13"/>
        <v>1610.4648690364172</v>
      </c>
      <c r="D159" s="16">
        <f t="shared" si="14"/>
        <v>943.47156741620017</v>
      </c>
      <c r="E159" s="16">
        <f t="shared" si="15"/>
        <v>666.99330162021704</v>
      </c>
      <c r="F159" s="16"/>
      <c r="G159" s="16">
        <f t="shared" si="16"/>
        <v>225766.18287826783</v>
      </c>
    </row>
    <row r="160" spans="2:7" x14ac:dyDescent="0.25">
      <c r="B160" s="10">
        <v>150</v>
      </c>
      <c r="C160" s="16">
        <f t="shared" si="13"/>
        <v>1610.4648690364172</v>
      </c>
      <c r="D160" s="16">
        <f t="shared" si="14"/>
        <v>940.69242865944932</v>
      </c>
      <c r="E160" s="16">
        <f t="shared" si="15"/>
        <v>669.77244037696789</v>
      </c>
      <c r="F160" s="16"/>
      <c r="G160" s="16">
        <f t="shared" si="16"/>
        <v>225096.41043789088</v>
      </c>
    </row>
    <row r="161" spans="2:7" x14ac:dyDescent="0.25">
      <c r="B161" s="10">
        <v>151</v>
      </c>
      <c r="C161" s="16">
        <f t="shared" si="13"/>
        <v>1610.4648690364172</v>
      </c>
      <c r="D161" s="16">
        <f t="shared" si="14"/>
        <v>937.90171015787871</v>
      </c>
      <c r="E161" s="16">
        <f t="shared" si="15"/>
        <v>672.5631588785385</v>
      </c>
      <c r="F161" s="16"/>
      <c r="G161" s="16">
        <f t="shared" si="16"/>
        <v>224423.84727901235</v>
      </c>
    </row>
    <row r="162" spans="2:7" x14ac:dyDescent="0.25">
      <c r="B162" s="10">
        <v>152</v>
      </c>
      <c r="C162" s="16">
        <f t="shared" si="13"/>
        <v>1610.4648690364172</v>
      </c>
      <c r="D162" s="16">
        <f t="shared" si="14"/>
        <v>935.09936366255147</v>
      </c>
      <c r="E162" s="16">
        <f t="shared" si="15"/>
        <v>675.36550537386574</v>
      </c>
      <c r="F162" s="16"/>
      <c r="G162" s="16">
        <f t="shared" si="16"/>
        <v>223748.48177363849</v>
      </c>
    </row>
    <row r="163" spans="2:7" x14ac:dyDescent="0.25">
      <c r="B163" s="10">
        <v>153</v>
      </c>
      <c r="C163" s="16">
        <f t="shared" si="13"/>
        <v>1610.4648690364172</v>
      </c>
      <c r="D163" s="16">
        <f t="shared" si="14"/>
        <v>932.28534072349373</v>
      </c>
      <c r="E163" s="16">
        <f t="shared" si="15"/>
        <v>678.17952831292348</v>
      </c>
      <c r="F163" s="16"/>
      <c r="G163" s="16">
        <f t="shared" si="16"/>
        <v>223070.30224532555</v>
      </c>
    </row>
    <row r="164" spans="2:7" x14ac:dyDescent="0.25">
      <c r="B164" s="10">
        <v>154</v>
      </c>
      <c r="C164" s="16">
        <f t="shared" si="13"/>
        <v>1610.4648690364172</v>
      </c>
      <c r="D164" s="16">
        <f t="shared" si="14"/>
        <v>929.45959268885645</v>
      </c>
      <c r="E164" s="16">
        <f t="shared" si="15"/>
        <v>681.00527634756077</v>
      </c>
      <c r="F164" s="16"/>
      <c r="G164" s="16">
        <f t="shared" si="16"/>
        <v>222389.29696897799</v>
      </c>
    </row>
    <row r="165" spans="2:7" x14ac:dyDescent="0.25">
      <c r="B165" s="10">
        <v>155</v>
      </c>
      <c r="C165" s="16">
        <f t="shared" si="13"/>
        <v>1610.4648690364172</v>
      </c>
      <c r="D165" s="16">
        <f t="shared" si="14"/>
        <v>926.62207070407487</v>
      </c>
      <c r="E165" s="16">
        <f t="shared" si="15"/>
        <v>683.84279833234234</v>
      </c>
      <c r="F165" s="16"/>
      <c r="G165" s="16">
        <f t="shared" si="16"/>
        <v>221705.45417064565</v>
      </c>
    </row>
    <row r="166" spans="2:7" x14ac:dyDescent="0.25">
      <c r="B166" s="10">
        <v>156</v>
      </c>
      <c r="C166" s="16">
        <f t="shared" si="13"/>
        <v>1610.4648690364172</v>
      </c>
      <c r="D166" s="16">
        <f t="shared" si="14"/>
        <v>923.77272571102355</v>
      </c>
      <c r="E166" s="16">
        <f t="shared" si="15"/>
        <v>686.69214332539366</v>
      </c>
      <c r="F166" s="16"/>
      <c r="G166" s="16">
        <f t="shared" si="16"/>
        <v>221018.76202732025</v>
      </c>
    </row>
    <row r="167" spans="2:7" x14ac:dyDescent="0.25">
      <c r="B167" s="10">
        <v>157</v>
      </c>
      <c r="C167" s="16">
        <f t="shared" si="13"/>
        <v>1610.4648690364172</v>
      </c>
      <c r="D167" s="16">
        <f t="shared" si="14"/>
        <v>920.91150844716765</v>
      </c>
      <c r="E167" s="16">
        <f t="shared" si="15"/>
        <v>689.55336058924956</v>
      </c>
      <c r="F167" s="16"/>
      <c r="G167" s="16">
        <f t="shared" si="16"/>
        <v>220329.20866673099</v>
      </c>
    </row>
    <row r="168" spans="2:7" x14ac:dyDescent="0.25">
      <c r="B168" s="10">
        <v>158</v>
      </c>
      <c r="C168" s="16">
        <f t="shared" si="13"/>
        <v>1610.4648690364172</v>
      </c>
      <c r="D168" s="16">
        <f t="shared" si="14"/>
        <v>918.03836944471243</v>
      </c>
      <c r="E168" s="16">
        <f t="shared" si="15"/>
        <v>692.42649959170478</v>
      </c>
      <c r="F168" s="16"/>
      <c r="G168" s="16">
        <f t="shared" si="16"/>
        <v>219636.78216713929</v>
      </c>
    </row>
    <row r="169" spans="2:7" x14ac:dyDescent="0.25">
      <c r="B169" s="10">
        <v>159</v>
      </c>
      <c r="C169" s="16">
        <f t="shared" si="13"/>
        <v>1610.4648690364172</v>
      </c>
      <c r="D169" s="16">
        <f t="shared" si="14"/>
        <v>915.15325902974701</v>
      </c>
      <c r="E169" s="16">
        <f t="shared" si="15"/>
        <v>695.31161000667021</v>
      </c>
      <c r="F169" s="16"/>
      <c r="G169" s="16">
        <f t="shared" si="16"/>
        <v>218941.47055713262</v>
      </c>
    </row>
    <row r="170" spans="2:7" x14ac:dyDescent="0.25">
      <c r="B170" s="10">
        <v>160</v>
      </c>
      <c r="C170" s="16">
        <f t="shared" si="13"/>
        <v>1610.4648690364172</v>
      </c>
      <c r="D170" s="16">
        <f t="shared" si="14"/>
        <v>912.25612732138586</v>
      </c>
      <c r="E170" s="16">
        <f t="shared" si="15"/>
        <v>698.20874171503135</v>
      </c>
      <c r="F170" s="16"/>
      <c r="G170" s="16">
        <f t="shared" si="16"/>
        <v>218243.26181541759</v>
      </c>
    </row>
    <row r="171" spans="2:7" x14ac:dyDescent="0.25">
      <c r="B171" s="10">
        <v>161</v>
      </c>
      <c r="C171" s="16">
        <f t="shared" si="13"/>
        <v>1610.4648690364172</v>
      </c>
      <c r="D171" s="16">
        <f t="shared" si="14"/>
        <v>909.34692423090655</v>
      </c>
      <c r="E171" s="16">
        <f t="shared" si="15"/>
        <v>701.11794480551066</v>
      </c>
      <c r="F171" s="16"/>
      <c r="G171" s="16">
        <f t="shared" si="16"/>
        <v>217542.14387061208</v>
      </c>
    </row>
    <row r="172" spans="2:7" x14ac:dyDescent="0.25">
      <c r="B172" s="10">
        <v>162</v>
      </c>
      <c r="C172" s="16">
        <f t="shared" si="13"/>
        <v>1610.4648690364172</v>
      </c>
      <c r="D172" s="16">
        <f t="shared" si="14"/>
        <v>906.42559946088363</v>
      </c>
      <c r="E172" s="16">
        <f t="shared" si="15"/>
        <v>704.03926957553358</v>
      </c>
      <c r="F172" s="16"/>
      <c r="G172" s="16">
        <f t="shared" si="16"/>
        <v>216838.10460103655</v>
      </c>
    </row>
    <row r="173" spans="2:7" x14ac:dyDescent="0.25">
      <c r="B173" s="10">
        <v>163</v>
      </c>
      <c r="C173" s="16">
        <f t="shared" si="13"/>
        <v>1610.4648690364172</v>
      </c>
      <c r="D173" s="16">
        <f t="shared" si="14"/>
        <v>903.49210250431895</v>
      </c>
      <c r="E173" s="16">
        <f t="shared" si="15"/>
        <v>706.97276653209826</v>
      </c>
      <c r="F173" s="16"/>
      <c r="G173" s="16">
        <f t="shared" si="16"/>
        <v>216131.13183450446</v>
      </c>
    </row>
    <row r="174" spans="2:7" x14ac:dyDescent="0.25">
      <c r="B174" s="10">
        <v>164</v>
      </c>
      <c r="C174" s="16">
        <f t="shared" si="13"/>
        <v>1610.4648690364172</v>
      </c>
      <c r="D174" s="16">
        <f t="shared" si="14"/>
        <v>900.54638264376854</v>
      </c>
      <c r="E174" s="16">
        <f t="shared" si="15"/>
        <v>709.91848639264867</v>
      </c>
      <c r="F174" s="16"/>
      <c r="G174" s="16">
        <f t="shared" si="16"/>
        <v>215421.21334811181</v>
      </c>
    </row>
    <row r="175" spans="2:7" x14ac:dyDescent="0.25">
      <c r="B175" s="10">
        <v>165</v>
      </c>
      <c r="C175" s="16">
        <f t="shared" si="13"/>
        <v>1610.4648690364172</v>
      </c>
      <c r="D175" s="16">
        <f t="shared" si="14"/>
        <v>897.58838895046586</v>
      </c>
      <c r="E175" s="16">
        <f t="shared" si="15"/>
        <v>712.87648008595136</v>
      </c>
      <c r="F175" s="16"/>
      <c r="G175" s="16">
        <f t="shared" si="16"/>
        <v>214708.33686802586</v>
      </c>
    </row>
    <row r="176" spans="2:7" x14ac:dyDescent="0.25">
      <c r="B176" s="10">
        <v>166</v>
      </c>
      <c r="C176" s="16">
        <f t="shared" si="13"/>
        <v>1610.4648690364172</v>
      </c>
      <c r="D176" s="16">
        <f t="shared" si="14"/>
        <v>894.61807028344106</v>
      </c>
      <c r="E176" s="16">
        <f t="shared" si="15"/>
        <v>715.84679875297616</v>
      </c>
      <c r="F176" s="16"/>
      <c r="G176" s="16">
        <f t="shared" si="16"/>
        <v>213992.49006927287</v>
      </c>
    </row>
    <row r="177" spans="2:7" x14ac:dyDescent="0.25">
      <c r="B177" s="10">
        <v>167</v>
      </c>
      <c r="C177" s="16">
        <f t="shared" si="13"/>
        <v>1610.4648690364172</v>
      </c>
      <c r="D177" s="16">
        <f t="shared" si="14"/>
        <v>891.63537528863696</v>
      </c>
      <c r="E177" s="16">
        <f t="shared" si="15"/>
        <v>718.82949374778025</v>
      </c>
      <c r="F177" s="16"/>
      <c r="G177" s="16">
        <f t="shared" si="16"/>
        <v>213273.66057552508</v>
      </c>
    </row>
    <row r="178" spans="2:7" x14ac:dyDescent="0.25">
      <c r="B178" s="10">
        <v>168</v>
      </c>
      <c r="C178" s="16">
        <f t="shared" si="13"/>
        <v>1610.4648690364172</v>
      </c>
      <c r="D178" s="16">
        <f t="shared" si="14"/>
        <v>888.64025239802118</v>
      </c>
      <c r="E178" s="16">
        <f t="shared" si="15"/>
        <v>721.82461663839604</v>
      </c>
      <c r="F178" s="16"/>
      <c r="G178" s="16">
        <f t="shared" si="16"/>
        <v>212551.83595888669</v>
      </c>
    </row>
    <row r="179" spans="2:7" x14ac:dyDescent="0.25">
      <c r="B179" s="10">
        <v>169</v>
      </c>
      <c r="C179" s="16">
        <f t="shared" si="13"/>
        <v>1610.4648690364172</v>
      </c>
      <c r="D179" s="16">
        <f t="shared" si="14"/>
        <v>885.63264982869453</v>
      </c>
      <c r="E179" s="16">
        <f t="shared" si="15"/>
        <v>724.83221920772269</v>
      </c>
      <c r="F179" s="16"/>
      <c r="G179" s="16">
        <f t="shared" si="16"/>
        <v>211827.00373967897</v>
      </c>
    </row>
    <row r="180" spans="2:7" x14ac:dyDescent="0.25">
      <c r="B180" s="10">
        <v>170</v>
      </c>
      <c r="C180" s="16">
        <f t="shared" si="13"/>
        <v>1610.4648690364172</v>
      </c>
      <c r="D180" s="16">
        <f t="shared" si="14"/>
        <v>882.61251558199569</v>
      </c>
      <c r="E180" s="16">
        <f t="shared" si="15"/>
        <v>727.85235345442152</v>
      </c>
      <c r="F180" s="16"/>
      <c r="G180" s="16">
        <f t="shared" si="16"/>
        <v>211099.15138622455</v>
      </c>
    </row>
    <row r="181" spans="2:7" x14ac:dyDescent="0.25">
      <c r="B181" s="10">
        <v>171</v>
      </c>
      <c r="C181" s="16">
        <f t="shared" si="13"/>
        <v>1610.4648690364172</v>
      </c>
      <c r="D181" s="16">
        <f t="shared" si="14"/>
        <v>879.57979744260228</v>
      </c>
      <c r="E181" s="16">
        <f t="shared" si="15"/>
        <v>730.88507159381493</v>
      </c>
      <c r="F181" s="16"/>
      <c r="G181" s="16">
        <f t="shared" si="16"/>
        <v>210368.26631463075</v>
      </c>
    </row>
    <row r="182" spans="2:7" x14ac:dyDescent="0.25">
      <c r="B182" s="10">
        <v>172</v>
      </c>
      <c r="C182" s="16">
        <f t="shared" si="13"/>
        <v>1610.4648690364172</v>
      </c>
      <c r="D182" s="16">
        <f t="shared" si="14"/>
        <v>876.53444297762815</v>
      </c>
      <c r="E182" s="16">
        <f t="shared" si="15"/>
        <v>733.93042605878907</v>
      </c>
      <c r="F182" s="16"/>
      <c r="G182" s="16">
        <f t="shared" si="16"/>
        <v>209634.33588857195</v>
      </c>
    </row>
    <row r="183" spans="2:7" x14ac:dyDescent="0.25">
      <c r="B183" s="10">
        <v>173</v>
      </c>
      <c r="C183" s="16">
        <f t="shared" si="13"/>
        <v>1610.4648690364172</v>
      </c>
      <c r="D183" s="16">
        <f t="shared" si="14"/>
        <v>873.4763995357165</v>
      </c>
      <c r="E183" s="16">
        <f t="shared" si="15"/>
        <v>736.98846950070072</v>
      </c>
      <c r="F183" s="16"/>
      <c r="G183" s="16">
        <f t="shared" si="16"/>
        <v>208897.34741907124</v>
      </c>
    </row>
    <row r="184" spans="2:7" x14ac:dyDescent="0.25">
      <c r="B184" s="10">
        <v>174</v>
      </c>
      <c r="C184" s="16">
        <f t="shared" si="13"/>
        <v>1610.4648690364172</v>
      </c>
      <c r="D184" s="16">
        <f t="shared" si="14"/>
        <v>870.4056142461302</v>
      </c>
      <c r="E184" s="16">
        <f t="shared" si="15"/>
        <v>740.05925479028701</v>
      </c>
      <c r="F184" s="16"/>
      <c r="G184" s="16">
        <f t="shared" si="16"/>
        <v>208157.28816428097</v>
      </c>
    </row>
    <row r="185" spans="2:7" x14ac:dyDescent="0.25">
      <c r="B185" s="10">
        <v>175</v>
      </c>
      <c r="C185" s="16">
        <f t="shared" si="13"/>
        <v>1610.4648690364172</v>
      </c>
      <c r="D185" s="16">
        <f t="shared" si="14"/>
        <v>867.32203401783738</v>
      </c>
      <c r="E185" s="16">
        <f t="shared" si="15"/>
        <v>743.14283501857983</v>
      </c>
      <c r="F185" s="16"/>
      <c r="G185" s="16">
        <f t="shared" si="16"/>
        <v>207414.14532926239</v>
      </c>
    </row>
    <row r="186" spans="2:7" x14ac:dyDescent="0.25">
      <c r="B186" s="10">
        <v>176</v>
      </c>
      <c r="C186" s="16">
        <f t="shared" si="13"/>
        <v>1610.4648690364172</v>
      </c>
      <c r="D186" s="16">
        <f t="shared" si="14"/>
        <v>864.2256055385933</v>
      </c>
      <c r="E186" s="16">
        <f t="shared" si="15"/>
        <v>746.23926349782391</v>
      </c>
      <c r="F186" s="16"/>
      <c r="G186" s="16">
        <f t="shared" si="16"/>
        <v>206667.90606576458</v>
      </c>
    </row>
    <row r="187" spans="2:7" x14ac:dyDescent="0.25">
      <c r="B187" s="10">
        <v>177</v>
      </c>
      <c r="C187" s="16">
        <f t="shared" si="13"/>
        <v>1610.4648690364172</v>
      </c>
      <c r="D187" s="16">
        <f t="shared" si="14"/>
        <v>861.11627527401902</v>
      </c>
      <c r="E187" s="16">
        <f t="shared" si="15"/>
        <v>749.3485937623982</v>
      </c>
      <c r="F187" s="16"/>
      <c r="G187" s="16">
        <f t="shared" si="16"/>
        <v>205918.55747200217</v>
      </c>
    </row>
    <row r="188" spans="2:7" x14ac:dyDescent="0.25">
      <c r="B188" s="10">
        <v>178</v>
      </c>
      <c r="C188" s="16">
        <f t="shared" si="13"/>
        <v>1610.4648690364172</v>
      </c>
      <c r="D188" s="16">
        <f t="shared" si="14"/>
        <v>857.99398946667566</v>
      </c>
      <c r="E188" s="16">
        <f t="shared" si="15"/>
        <v>752.47087956974156</v>
      </c>
      <c r="F188" s="16"/>
      <c r="G188" s="16">
        <f t="shared" si="16"/>
        <v>205166.08659243243</v>
      </c>
    </row>
    <row r="189" spans="2:7" x14ac:dyDescent="0.25">
      <c r="B189" s="10">
        <v>179</v>
      </c>
      <c r="C189" s="16">
        <f t="shared" si="13"/>
        <v>1610.4648690364172</v>
      </c>
      <c r="D189" s="16">
        <f t="shared" si="14"/>
        <v>854.85869413513512</v>
      </c>
      <c r="E189" s="16">
        <f t="shared" si="15"/>
        <v>755.60617490128209</v>
      </c>
      <c r="F189" s="16"/>
      <c r="G189" s="16">
        <f t="shared" si="16"/>
        <v>204410.48041753116</v>
      </c>
    </row>
    <row r="190" spans="2:7" x14ac:dyDescent="0.25">
      <c r="B190" s="10">
        <v>180</v>
      </c>
      <c r="C190" s="16">
        <f t="shared" si="13"/>
        <v>1610.4648690364172</v>
      </c>
      <c r="D190" s="16">
        <f t="shared" si="14"/>
        <v>851.71033507304651</v>
      </c>
      <c r="E190" s="16">
        <f t="shared" si="15"/>
        <v>758.7545339633707</v>
      </c>
      <c r="F190" s="16"/>
      <c r="G190" s="16">
        <f t="shared" si="16"/>
        <v>203651.72588356779</v>
      </c>
    </row>
    <row r="191" spans="2:7" x14ac:dyDescent="0.25">
      <c r="B191" s="10">
        <v>181</v>
      </c>
      <c r="C191" s="16">
        <f t="shared" si="13"/>
        <v>1610.4648690364172</v>
      </c>
      <c r="D191" s="16">
        <f t="shared" si="14"/>
        <v>848.54885784819908</v>
      </c>
      <c r="E191" s="16">
        <f t="shared" si="15"/>
        <v>761.91601118821814</v>
      </c>
      <c r="F191" s="16"/>
      <c r="G191" s="16">
        <f t="shared" si="16"/>
        <v>202889.80987237958</v>
      </c>
    </row>
    <row r="192" spans="2:7" x14ac:dyDescent="0.25">
      <c r="B192" s="10">
        <v>182</v>
      </c>
      <c r="C192" s="16">
        <f t="shared" si="13"/>
        <v>1610.4648690364172</v>
      </c>
      <c r="D192" s="16">
        <f t="shared" si="14"/>
        <v>845.37420780158163</v>
      </c>
      <c r="E192" s="16">
        <f t="shared" si="15"/>
        <v>765.09066123483558</v>
      </c>
      <c r="F192" s="16"/>
      <c r="G192" s="16">
        <f t="shared" si="16"/>
        <v>202124.71921114475</v>
      </c>
    </row>
    <row r="193" spans="2:7" x14ac:dyDescent="0.25">
      <c r="B193" s="10">
        <v>183</v>
      </c>
      <c r="C193" s="16">
        <f t="shared" si="13"/>
        <v>1610.4648690364172</v>
      </c>
      <c r="D193" s="16">
        <f t="shared" si="14"/>
        <v>842.18633004643641</v>
      </c>
      <c r="E193" s="16">
        <f t="shared" si="15"/>
        <v>768.2785389899808</v>
      </c>
      <c r="F193" s="16"/>
      <c r="G193" s="16">
        <f t="shared" si="16"/>
        <v>201356.44067215477</v>
      </c>
    </row>
    <row r="194" spans="2:7" x14ac:dyDescent="0.25">
      <c r="B194" s="10">
        <v>184</v>
      </c>
      <c r="C194" s="16">
        <f t="shared" si="13"/>
        <v>1610.4648690364172</v>
      </c>
      <c r="D194" s="16">
        <f t="shared" si="14"/>
        <v>838.98516946731149</v>
      </c>
      <c r="E194" s="16">
        <f t="shared" si="15"/>
        <v>771.47969956910572</v>
      </c>
      <c r="F194" s="16"/>
      <c r="G194" s="16">
        <f t="shared" si="16"/>
        <v>200584.96097258566</v>
      </c>
    </row>
    <row r="195" spans="2:7" x14ac:dyDescent="0.25">
      <c r="B195" s="10">
        <v>185</v>
      </c>
      <c r="C195" s="16">
        <f t="shared" si="13"/>
        <v>1610.4648690364172</v>
      </c>
      <c r="D195" s="16">
        <f t="shared" si="14"/>
        <v>835.77067071910687</v>
      </c>
      <c r="E195" s="16">
        <f t="shared" si="15"/>
        <v>774.69419831731034</v>
      </c>
      <c r="F195" s="16"/>
      <c r="G195" s="16">
        <f t="shared" si="16"/>
        <v>199810.26677426836</v>
      </c>
    </row>
    <row r="196" spans="2:7" x14ac:dyDescent="0.25">
      <c r="B196" s="10">
        <v>186</v>
      </c>
      <c r="C196" s="16">
        <f t="shared" si="13"/>
        <v>1610.4648690364172</v>
      </c>
      <c r="D196" s="16">
        <f t="shared" si="14"/>
        <v>832.54277822611812</v>
      </c>
      <c r="E196" s="16">
        <f t="shared" si="15"/>
        <v>777.9220908102991</v>
      </c>
      <c r="F196" s="16"/>
      <c r="G196" s="16">
        <f t="shared" si="16"/>
        <v>199032.34468345807</v>
      </c>
    </row>
    <row r="197" spans="2:7" x14ac:dyDescent="0.25">
      <c r="B197" s="10">
        <v>187</v>
      </c>
      <c r="C197" s="16">
        <f t="shared" si="13"/>
        <v>1610.4648690364172</v>
      </c>
      <c r="D197" s="16">
        <f t="shared" si="14"/>
        <v>829.30143618107525</v>
      </c>
      <c r="E197" s="16">
        <f t="shared" si="15"/>
        <v>781.16343285534197</v>
      </c>
      <c r="F197" s="16"/>
      <c r="G197" s="16">
        <f t="shared" si="16"/>
        <v>198251.18125060273</v>
      </c>
    </row>
    <row r="198" spans="2:7" x14ac:dyDescent="0.25">
      <c r="B198" s="10">
        <v>188</v>
      </c>
      <c r="C198" s="16">
        <f t="shared" ref="C198:C261" si="17">IF(G197&lt;$C$7,G197*(1+$C$4),$C$7)</f>
        <v>1610.4648690364172</v>
      </c>
      <c r="D198" s="16">
        <f t="shared" ref="D198:D261" si="18">G197*$C$4</f>
        <v>826.04658854417801</v>
      </c>
      <c r="E198" s="16">
        <f t="shared" ref="E198:E261" si="19">C198-D198</f>
        <v>784.41828049223921</v>
      </c>
      <c r="F198" s="16"/>
      <c r="G198" s="16">
        <f t="shared" ref="G198:G261" si="20">G197-F198-E198</f>
        <v>197466.76297011049</v>
      </c>
    </row>
    <row r="199" spans="2:7" x14ac:dyDescent="0.25">
      <c r="B199" s="10">
        <v>189</v>
      </c>
      <c r="C199" s="16">
        <f t="shared" si="17"/>
        <v>1610.4648690364172</v>
      </c>
      <c r="D199" s="16">
        <f t="shared" si="18"/>
        <v>822.77817904212702</v>
      </c>
      <c r="E199" s="16">
        <f t="shared" si="19"/>
        <v>787.68668999429019</v>
      </c>
      <c r="F199" s="16"/>
      <c r="G199" s="16">
        <f t="shared" si="20"/>
        <v>196679.07628011619</v>
      </c>
    </row>
    <row r="200" spans="2:7" x14ac:dyDescent="0.25">
      <c r="B200" s="10">
        <v>190</v>
      </c>
      <c r="C200" s="16">
        <f t="shared" si="17"/>
        <v>1610.4648690364172</v>
      </c>
      <c r="D200" s="16">
        <f t="shared" si="18"/>
        <v>819.49615116715074</v>
      </c>
      <c r="E200" s="16">
        <f t="shared" si="19"/>
        <v>790.96871786926647</v>
      </c>
      <c r="F200" s="16"/>
      <c r="G200" s="16">
        <f t="shared" si="20"/>
        <v>195888.10756224694</v>
      </c>
    </row>
    <row r="201" spans="2:7" x14ac:dyDescent="0.25">
      <c r="B201" s="10">
        <v>191</v>
      </c>
      <c r="C201" s="16">
        <f t="shared" si="17"/>
        <v>1610.4648690364172</v>
      </c>
      <c r="D201" s="16">
        <f t="shared" si="18"/>
        <v>816.20044817602889</v>
      </c>
      <c r="E201" s="16">
        <f t="shared" si="19"/>
        <v>794.26442086038833</v>
      </c>
      <c r="F201" s="16"/>
      <c r="G201" s="16">
        <f t="shared" si="20"/>
        <v>195093.84314138655</v>
      </c>
    </row>
    <row r="202" spans="2:7" x14ac:dyDescent="0.25">
      <c r="B202" s="10">
        <v>192</v>
      </c>
      <c r="C202" s="16">
        <f t="shared" si="17"/>
        <v>1610.4648690364172</v>
      </c>
      <c r="D202" s="16">
        <f t="shared" si="18"/>
        <v>812.89101308911063</v>
      </c>
      <c r="E202" s="16">
        <f t="shared" si="19"/>
        <v>797.57385594730658</v>
      </c>
      <c r="F202" s="16"/>
      <c r="G202" s="16">
        <f t="shared" si="20"/>
        <v>194296.26928543925</v>
      </c>
    </row>
    <row r="203" spans="2:7" x14ac:dyDescent="0.25">
      <c r="B203" s="10">
        <v>193</v>
      </c>
      <c r="C203" s="16">
        <f t="shared" si="17"/>
        <v>1610.4648690364172</v>
      </c>
      <c r="D203" s="16">
        <f t="shared" si="18"/>
        <v>809.5677886893302</v>
      </c>
      <c r="E203" s="16">
        <f t="shared" si="19"/>
        <v>800.89708034708701</v>
      </c>
      <c r="F203" s="16"/>
      <c r="G203" s="16">
        <f t="shared" si="20"/>
        <v>193495.37220509216</v>
      </c>
    </row>
    <row r="204" spans="2:7" x14ac:dyDescent="0.25">
      <c r="B204" s="10">
        <v>194</v>
      </c>
      <c r="C204" s="16">
        <f t="shared" si="17"/>
        <v>1610.4648690364172</v>
      </c>
      <c r="D204" s="16">
        <f t="shared" si="18"/>
        <v>806.23071752121734</v>
      </c>
      <c r="E204" s="16">
        <f t="shared" si="19"/>
        <v>804.23415151519987</v>
      </c>
      <c r="F204" s="16"/>
      <c r="G204" s="16">
        <f t="shared" si="20"/>
        <v>192691.13805357696</v>
      </c>
    </row>
    <row r="205" spans="2:7" x14ac:dyDescent="0.25">
      <c r="B205" s="10">
        <v>195</v>
      </c>
      <c r="C205" s="16">
        <f t="shared" si="17"/>
        <v>1610.4648690364172</v>
      </c>
      <c r="D205" s="16">
        <f t="shared" si="18"/>
        <v>802.87974188990393</v>
      </c>
      <c r="E205" s="16">
        <f t="shared" si="19"/>
        <v>807.58512714651329</v>
      </c>
      <c r="F205" s="16"/>
      <c r="G205" s="16">
        <f t="shared" si="20"/>
        <v>191883.55292643045</v>
      </c>
    </row>
    <row r="206" spans="2:7" x14ac:dyDescent="0.25">
      <c r="B206" s="10">
        <v>196</v>
      </c>
      <c r="C206" s="16">
        <f t="shared" si="17"/>
        <v>1610.4648690364172</v>
      </c>
      <c r="D206" s="16">
        <f t="shared" si="18"/>
        <v>799.5148038601269</v>
      </c>
      <c r="E206" s="16">
        <f t="shared" si="19"/>
        <v>810.95006517629031</v>
      </c>
      <c r="F206" s="16"/>
      <c r="G206" s="16">
        <f t="shared" si="20"/>
        <v>191072.60286125416</v>
      </c>
    </row>
    <row r="207" spans="2:7" x14ac:dyDescent="0.25">
      <c r="B207" s="10">
        <v>197</v>
      </c>
      <c r="C207" s="16">
        <f t="shared" si="17"/>
        <v>1610.4648690364172</v>
      </c>
      <c r="D207" s="16">
        <f t="shared" si="18"/>
        <v>796.1358452552256</v>
      </c>
      <c r="E207" s="16">
        <f t="shared" si="19"/>
        <v>814.32902378119161</v>
      </c>
      <c r="F207" s="16"/>
      <c r="G207" s="16">
        <f t="shared" si="20"/>
        <v>190258.27383747295</v>
      </c>
    </row>
    <row r="208" spans="2:7" x14ac:dyDescent="0.25">
      <c r="B208" s="10">
        <v>198</v>
      </c>
      <c r="C208" s="16">
        <f t="shared" si="17"/>
        <v>1610.4648690364172</v>
      </c>
      <c r="D208" s="16">
        <f t="shared" si="18"/>
        <v>792.7428076561373</v>
      </c>
      <c r="E208" s="16">
        <f t="shared" si="19"/>
        <v>817.72206138027991</v>
      </c>
      <c r="F208" s="16"/>
      <c r="G208" s="16">
        <f t="shared" si="20"/>
        <v>189440.55177609267</v>
      </c>
    </row>
    <row r="209" spans="2:7" x14ac:dyDescent="0.25">
      <c r="B209" s="10">
        <v>199</v>
      </c>
      <c r="C209" s="16">
        <f t="shared" si="17"/>
        <v>1610.4648690364172</v>
      </c>
      <c r="D209" s="16">
        <f t="shared" si="18"/>
        <v>789.33563240038609</v>
      </c>
      <c r="E209" s="16">
        <f t="shared" si="19"/>
        <v>821.12923663603112</v>
      </c>
      <c r="F209" s="16"/>
      <c r="G209" s="16">
        <f t="shared" si="20"/>
        <v>188619.42253945663</v>
      </c>
    </row>
    <row r="210" spans="2:7" x14ac:dyDescent="0.25">
      <c r="B210" s="10">
        <v>200</v>
      </c>
      <c r="C210" s="16">
        <f t="shared" si="17"/>
        <v>1610.4648690364172</v>
      </c>
      <c r="D210" s="16">
        <f t="shared" si="18"/>
        <v>785.91426058106924</v>
      </c>
      <c r="E210" s="16">
        <f t="shared" si="19"/>
        <v>824.55060845534797</v>
      </c>
      <c r="F210" s="16"/>
      <c r="G210" s="16">
        <f t="shared" si="20"/>
        <v>187794.87193100128</v>
      </c>
    </row>
    <row r="211" spans="2:7" x14ac:dyDescent="0.25">
      <c r="B211" s="10">
        <v>201</v>
      </c>
      <c r="C211" s="16">
        <f t="shared" si="17"/>
        <v>1610.4648690364172</v>
      </c>
      <c r="D211" s="16">
        <f t="shared" si="18"/>
        <v>782.47863304583871</v>
      </c>
      <c r="E211" s="16">
        <f t="shared" si="19"/>
        <v>827.98623599057851</v>
      </c>
      <c r="F211" s="16"/>
      <c r="G211" s="16">
        <f t="shared" si="20"/>
        <v>186966.88569501071</v>
      </c>
    </row>
    <row r="212" spans="2:7" x14ac:dyDescent="0.25">
      <c r="B212" s="10">
        <v>202</v>
      </c>
      <c r="C212" s="16">
        <f t="shared" si="17"/>
        <v>1610.4648690364172</v>
      </c>
      <c r="D212" s="16">
        <f t="shared" si="18"/>
        <v>779.02869039587802</v>
      </c>
      <c r="E212" s="16">
        <f t="shared" si="19"/>
        <v>831.4361786405392</v>
      </c>
      <c r="F212" s="16"/>
      <c r="G212" s="16">
        <f t="shared" si="20"/>
        <v>186135.44951637016</v>
      </c>
    </row>
    <row r="213" spans="2:7" x14ac:dyDescent="0.25">
      <c r="B213" s="10">
        <v>203</v>
      </c>
      <c r="C213" s="16">
        <f t="shared" si="17"/>
        <v>1610.4648690364172</v>
      </c>
      <c r="D213" s="16">
        <f t="shared" si="18"/>
        <v>775.56437298487572</v>
      </c>
      <c r="E213" s="16">
        <f t="shared" si="19"/>
        <v>834.9004960515415</v>
      </c>
      <c r="F213" s="16"/>
      <c r="G213" s="16">
        <f t="shared" si="20"/>
        <v>185300.54902031863</v>
      </c>
    </row>
    <row r="214" spans="2:7" x14ac:dyDescent="0.25">
      <c r="B214" s="10">
        <v>204</v>
      </c>
      <c r="C214" s="16">
        <f t="shared" si="17"/>
        <v>1610.4648690364172</v>
      </c>
      <c r="D214" s="16">
        <f t="shared" si="18"/>
        <v>772.08562091799433</v>
      </c>
      <c r="E214" s="16">
        <f t="shared" si="19"/>
        <v>838.37924811842288</v>
      </c>
      <c r="F214" s="16"/>
      <c r="G214" s="16">
        <f t="shared" si="20"/>
        <v>184462.1697722002</v>
      </c>
    </row>
    <row r="215" spans="2:7" x14ac:dyDescent="0.25">
      <c r="B215" s="10">
        <v>205</v>
      </c>
      <c r="C215" s="16">
        <f t="shared" si="17"/>
        <v>1610.4648690364172</v>
      </c>
      <c r="D215" s="16">
        <f t="shared" si="18"/>
        <v>768.59237405083411</v>
      </c>
      <c r="E215" s="16">
        <f t="shared" si="19"/>
        <v>841.8724949855831</v>
      </c>
      <c r="F215" s="16"/>
      <c r="G215" s="16">
        <f t="shared" si="20"/>
        <v>183620.29727721462</v>
      </c>
    </row>
    <row r="216" spans="2:7" x14ac:dyDescent="0.25">
      <c r="B216" s="10">
        <v>206</v>
      </c>
      <c r="C216" s="16">
        <f t="shared" si="17"/>
        <v>1610.4648690364172</v>
      </c>
      <c r="D216" s="16">
        <f t="shared" si="18"/>
        <v>765.08457198839426</v>
      </c>
      <c r="E216" s="16">
        <f t="shared" si="19"/>
        <v>845.38029704802295</v>
      </c>
      <c r="F216" s="16"/>
      <c r="G216" s="16">
        <f t="shared" si="20"/>
        <v>182774.9169801666</v>
      </c>
    </row>
    <row r="217" spans="2:7" x14ac:dyDescent="0.25">
      <c r="B217" s="10">
        <v>207</v>
      </c>
      <c r="C217" s="16">
        <f t="shared" si="17"/>
        <v>1610.4648690364172</v>
      </c>
      <c r="D217" s="16">
        <f t="shared" si="18"/>
        <v>761.5621540840275</v>
      </c>
      <c r="E217" s="16">
        <f t="shared" si="19"/>
        <v>848.90271495238972</v>
      </c>
      <c r="F217" s="16"/>
      <c r="G217" s="16">
        <f t="shared" si="20"/>
        <v>181926.01426521421</v>
      </c>
    </row>
    <row r="218" spans="2:7" x14ac:dyDescent="0.25">
      <c r="B218" s="10">
        <v>208</v>
      </c>
      <c r="C218" s="16">
        <f t="shared" si="17"/>
        <v>1610.4648690364172</v>
      </c>
      <c r="D218" s="16">
        <f t="shared" si="18"/>
        <v>758.02505943839253</v>
      </c>
      <c r="E218" s="16">
        <f t="shared" si="19"/>
        <v>852.43980959802468</v>
      </c>
      <c r="F218" s="16"/>
      <c r="G218" s="16">
        <f t="shared" si="20"/>
        <v>181073.57445561618</v>
      </c>
    </row>
    <row r="219" spans="2:7" x14ac:dyDescent="0.25">
      <c r="B219" s="10">
        <v>209</v>
      </c>
      <c r="C219" s="16">
        <f t="shared" si="17"/>
        <v>1610.4648690364172</v>
      </c>
      <c r="D219" s="16">
        <f t="shared" si="18"/>
        <v>754.47322689840075</v>
      </c>
      <c r="E219" s="16">
        <f t="shared" si="19"/>
        <v>855.99164213801646</v>
      </c>
      <c r="F219" s="16"/>
      <c r="G219" s="16">
        <f t="shared" si="20"/>
        <v>180217.58281347816</v>
      </c>
    </row>
    <row r="220" spans="2:7" x14ac:dyDescent="0.25">
      <c r="B220" s="10">
        <v>210</v>
      </c>
      <c r="C220" s="16">
        <f t="shared" si="17"/>
        <v>1610.4648690364172</v>
      </c>
      <c r="D220" s="16">
        <f t="shared" si="18"/>
        <v>750.90659505615895</v>
      </c>
      <c r="E220" s="16">
        <f t="shared" si="19"/>
        <v>859.55827398025826</v>
      </c>
      <c r="F220" s="16"/>
      <c r="G220" s="16">
        <f t="shared" si="20"/>
        <v>179358.02453949791</v>
      </c>
    </row>
    <row r="221" spans="2:7" x14ac:dyDescent="0.25">
      <c r="B221" s="10">
        <v>211</v>
      </c>
      <c r="C221" s="16">
        <f t="shared" si="17"/>
        <v>1610.4648690364172</v>
      </c>
      <c r="D221" s="16">
        <f t="shared" si="18"/>
        <v>747.32510224790792</v>
      </c>
      <c r="E221" s="16">
        <f t="shared" si="19"/>
        <v>863.13976678850929</v>
      </c>
      <c r="F221" s="16"/>
      <c r="G221" s="16">
        <f t="shared" si="20"/>
        <v>178494.8847727094</v>
      </c>
    </row>
    <row r="222" spans="2:7" x14ac:dyDescent="0.25">
      <c r="B222" s="10">
        <v>212</v>
      </c>
      <c r="C222" s="16">
        <f t="shared" si="17"/>
        <v>1610.4648690364172</v>
      </c>
      <c r="D222" s="16">
        <f t="shared" si="18"/>
        <v>743.72868655295576</v>
      </c>
      <c r="E222" s="16">
        <f t="shared" si="19"/>
        <v>866.73618248346145</v>
      </c>
      <c r="F222" s="16"/>
      <c r="G222" s="16">
        <f t="shared" si="20"/>
        <v>177628.14859022593</v>
      </c>
    </row>
    <row r="223" spans="2:7" x14ac:dyDescent="0.25">
      <c r="B223" s="10">
        <v>213</v>
      </c>
      <c r="C223" s="16">
        <f t="shared" si="17"/>
        <v>1610.4648690364172</v>
      </c>
      <c r="D223" s="16">
        <f t="shared" si="18"/>
        <v>740.11728579260807</v>
      </c>
      <c r="E223" s="16">
        <f t="shared" si="19"/>
        <v>870.34758324380914</v>
      </c>
      <c r="F223" s="16"/>
      <c r="G223" s="16">
        <f t="shared" si="20"/>
        <v>176757.80100698213</v>
      </c>
    </row>
    <row r="224" spans="2:7" x14ac:dyDescent="0.25">
      <c r="B224" s="10">
        <v>214</v>
      </c>
      <c r="C224" s="16">
        <f t="shared" si="17"/>
        <v>1610.4648690364172</v>
      </c>
      <c r="D224" s="16">
        <f t="shared" si="18"/>
        <v>736.49083752909223</v>
      </c>
      <c r="E224" s="16">
        <f t="shared" si="19"/>
        <v>873.97403150732498</v>
      </c>
      <c r="F224" s="16"/>
      <c r="G224" s="16">
        <f t="shared" si="20"/>
        <v>175883.8269754748</v>
      </c>
    </row>
    <row r="225" spans="2:7" x14ac:dyDescent="0.25">
      <c r="B225" s="10">
        <v>215</v>
      </c>
      <c r="C225" s="16">
        <f t="shared" si="17"/>
        <v>1610.4648690364172</v>
      </c>
      <c r="D225" s="16">
        <f t="shared" si="18"/>
        <v>732.84927906447831</v>
      </c>
      <c r="E225" s="16">
        <f t="shared" si="19"/>
        <v>877.6155899719389</v>
      </c>
      <c r="F225" s="16"/>
      <c r="G225" s="16">
        <f t="shared" si="20"/>
        <v>175006.21138550286</v>
      </c>
    </row>
    <row r="226" spans="2:7" x14ac:dyDescent="0.25">
      <c r="B226" s="10">
        <v>216</v>
      </c>
      <c r="C226" s="16">
        <f t="shared" si="17"/>
        <v>1610.4648690364172</v>
      </c>
      <c r="D226" s="16">
        <f t="shared" si="18"/>
        <v>729.19254743959527</v>
      </c>
      <c r="E226" s="16">
        <f t="shared" si="19"/>
        <v>881.27232159682194</v>
      </c>
      <c r="F226" s="16"/>
      <c r="G226" s="16">
        <f t="shared" si="20"/>
        <v>174124.93906390603</v>
      </c>
    </row>
    <row r="227" spans="2:7" x14ac:dyDescent="0.25">
      <c r="B227" s="10">
        <v>217</v>
      </c>
      <c r="C227" s="16">
        <f t="shared" si="17"/>
        <v>1610.4648690364172</v>
      </c>
      <c r="D227" s="16">
        <f t="shared" si="18"/>
        <v>725.52057943294176</v>
      </c>
      <c r="E227" s="16">
        <f t="shared" si="19"/>
        <v>884.94428960347545</v>
      </c>
      <c r="F227" s="16"/>
      <c r="G227" s="16">
        <f t="shared" si="20"/>
        <v>173239.99477430256</v>
      </c>
    </row>
    <row r="228" spans="2:7" x14ac:dyDescent="0.25">
      <c r="B228" s="10">
        <v>218</v>
      </c>
      <c r="C228" s="16">
        <f t="shared" si="17"/>
        <v>1610.4648690364172</v>
      </c>
      <c r="D228" s="16">
        <f t="shared" si="18"/>
        <v>721.83331155959399</v>
      </c>
      <c r="E228" s="16">
        <f t="shared" si="19"/>
        <v>888.63155747682322</v>
      </c>
      <c r="F228" s="16"/>
      <c r="G228" s="16">
        <f t="shared" si="20"/>
        <v>172351.36321682573</v>
      </c>
    </row>
    <row r="229" spans="2:7" x14ac:dyDescent="0.25">
      <c r="B229" s="10">
        <v>219</v>
      </c>
      <c r="C229" s="16">
        <f t="shared" si="17"/>
        <v>1610.4648690364172</v>
      </c>
      <c r="D229" s="16">
        <f t="shared" si="18"/>
        <v>718.13068007010725</v>
      </c>
      <c r="E229" s="16">
        <f t="shared" si="19"/>
        <v>892.33418896630997</v>
      </c>
      <c r="F229" s="16"/>
      <c r="G229" s="16">
        <f t="shared" si="20"/>
        <v>171459.02902785942</v>
      </c>
    </row>
    <row r="230" spans="2:7" x14ac:dyDescent="0.25">
      <c r="B230" s="10">
        <v>220</v>
      </c>
      <c r="C230" s="16">
        <f t="shared" si="17"/>
        <v>1610.4648690364172</v>
      </c>
      <c r="D230" s="16">
        <f t="shared" si="18"/>
        <v>714.41262094941419</v>
      </c>
      <c r="E230" s="16">
        <f t="shared" si="19"/>
        <v>896.05224808700302</v>
      </c>
      <c r="F230" s="16"/>
      <c r="G230" s="16">
        <f t="shared" si="20"/>
        <v>170562.97677977241</v>
      </c>
    </row>
    <row r="231" spans="2:7" x14ac:dyDescent="0.25">
      <c r="B231" s="10">
        <v>221</v>
      </c>
      <c r="C231" s="16">
        <f t="shared" si="17"/>
        <v>1610.4648690364172</v>
      </c>
      <c r="D231" s="16">
        <f t="shared" si="18"/>
        <v>710.6790699157184</v>
      </c>
      <c r="E231" s="16">
        <f t="shared" si="19"/>
        <v>899.78579912069881</v>
      </c>
      <c r="F231" s="16"/>
      <c r="G231" s="16">
        <f t="shared" si="20"/>
        <v>169663.19098065171</v>
      </c>
    </row>
    <row r="232" spans="2:7" x14ac:dyDescent="0.25">
      <c r="B232" s="10">
        <v>222</v>
      </c>
      <c r="C232" s="16">
        <f t="shared" si="17"/>
        <v>1610.4648690364172</v>
      </c>
      <c r="D232" s="16">
        <f t="shared" si="18"/>
        <v>706.92996241938215</v>
      </c>
      <c r="E232" s="16">
        <f t="shared" si="19"/>
        <v>903.53490661703506</v>
      </c>
      <c r="F232" s="16"/>
      <c r="G232" s="16">
        <f t="shared" si="20"/>
        <v>168759.65607403466</v>
      </c>
    </row>
    <row r="233" spans="2:7" x14ac:dyDescent="0.25">
      <c r="B233" s="10">
        <v>223</v>
      </c>
      <c r="C233" s="16">
        <f t="shared" si="17"/>
        <v>1610.4648690364172</v>
      </c>
      <c r="D233" s="16">
        <f t="shared" si="18"/>
        <v>703.16523364181103</v>
      </c>
      <c r="E233" s="16">
        <f t="shared" si="19"/>
        <v>907.29963539460618</v>
      </c>
      <c r="F233" s="16"/>
      <c r="G233" s="16">
        <f t="shared" si="20"/>
        <v>167852.35643864007</v>
      </c>
    </row>
    <row r="234" spans="2:7" x14ac:dyDescent="0.25">
      <c r="B234" s="10">
        <v>224</v>
      </c>
      <c r="C234" s="16">
        <f t="shared" si="17"/>
        <v>1610.4648690364172</v>
      </c>
      <c r="D234" s="16">
        <f t="shared" si="18"/>
        <v>699.38481849433356</v>
      </c>
      <c r="E234" s="16">
        <f t="shared" si="19"/>
        <v>911.08005054208365</v>
      </c>
      <c r="F234" s="16"/>
      <c r="G234" s="16">
        <f t="shared" si="20"/>
        <v>166941.27638809799</v>
      </c>
    </row>
    <row r="235" spans="2:7" x14ac:dyDescent="0.25">
      <c r="B235" s="10">
        <v>225</v>
      </c>
      <c r="C235" s="16">
        <f t="shared" si="17"/>
        <v>1610.4648690364172</v>
      </c>
      <c r="D235" s="16">
        <f t="shared" si="18"/>
        <v>695.5886516170749</v>
      </c>
      <c r="E235" s="16">
        <f t="shared" si="19"/>
        <v>914.87621741934231</v>
      </c>
      <c r="F235" s="16"/>
      <c r="G235" s="16">
        <f t="shared" si="20"/>
        <v>166026.40017067865</v>
      </c>
    </row>
    <row r="236" spans="2:7" x14ac:dyDescent="0.25">
      <c r="B236" s="10">
        <v>226</v>
      </c>
      <c r="C236" s="16">
        <f t="shared" si="17"/>
        <v>1610.4648690364172</v>
      </c>
      <c r="D236" s="16">
        <f t="shared" si="18"/>
        <v>691.77666737782772</v>
      </c>
      <c r="E236" s="16">
        <f t="shared" si="19"/>
        <v>918.68820165858949</v>
      </c>
      <c r="F236" s="16"/>
      <c r="G236" s="16">
        <f t="shared" si="20"/>
        <v>165107.71196902005</v>
      </c>
    </row>
    <row r="237" spans="2:7" x14ac:dyDescent="0.25">
      <c r="B237" s="10">
        <v>227</v>
      </c>
      <c r="C237" s="16">
        <f t="shared" si="17"/>
        <v>1610.4648690364172</v>
      </c>
      <c r="D237" s="16">
        <f t="shared" si="18"/>
        <v>687.9487998709169</v>
      </c>
      <c r="E237" s="16">
        <f t="shared" si="19"/>
        <v>922.51606916550031</v>
      </c>
      <c r="F237" s="16"/>
      <c r="G237" s="16">
        <f t="shared" si="20"/>
        <v>164185.19589985456</v>
      </c>
    </row>
    <row r="238" spans="2:7" x14ac:dyDescent="0.25">
      <c r="B238" s="10">
        <v>228</v>
      </c>
      <c r="C238" s="16">
        <f t="shared" si="17"/>
        <v>1610.4648690364172</v>
      </c>
      <c r="D238" s="16">
        <f t="shared" si="18"/>
        <v>684.10498291606064</v>
      </c>
      <c r="E238" s="16">
        <f t="shared" si="19"/>
        <v>926.35988612035658</v>
      </c>
      <c r="F238" s="16"/>
      <c r="G238" s="16">
        <f t="shared" si="20"/>
        <v>163258.8360137342</v>
      </c>
    </row>
    <row r="239" spans="2:7" x14ac:dyDescent="0.25">
      <c r="B239" s="10">
        <v>229</v>
      </c>
      <c r="C239" s="16">
        <f t="shared" si="17"/>
        <v>1610.4648690364172</v>
      </c>
      <c r="D239" s="16">
        <f t="shared" si="18"/>
        <v>680.24515005722583</v>
      </c>
      <c r="E239" s="16">
        <f t="shared" si="19"/>
        <v>930.21971897919138</v>
      </c>
      <c r="F239" s="16"/>
      <c r="G239" s="16">
        <f t="shared" si="20"/>
        <v>162328.61629475502</v>
      </c>
    </row>
    <row r="240" spans="2:7" x14ac:dyDescent="0.25">
      <c r="B240" s="10">
        <v>230</v>
      </c>
      <c r="C240" s="16">
        <f t="shared" si="17"/>
        <v>1610.4648690364172</v>
      </c>
      <c r="D240" s="16">
        <f t="shared" si="18"/>
        <v>676.36923456147929</v>
      </c>
      <c r="E240" s="16">
        <f t="shared" si="19"/>
        <v>934.09563447493792</v>
      </c>
      <c r="F240" s="16"/>
      <c r="G240" s="16">
        <f t="shared" si="20"/>
        <v>161394.52066028008</v>
      </c>
    </row>
    <row r="241" spans="2:7" x14ac:dyDescent="0.25">
      <c r="B241" s="10">
        <v>231</v>
      </c>
      <c r="C241" s="16">
        <f t="shared" si="17"/>
        <v>1610.4648690364172</v>
      </c>
      <c r="D241" s="16">
        <f t="shared" si="18"/>
        <v>672.47716941783369</v>
      </c>
      <c r="E241" s="16">
        <f t="shared" si="19"/>
        <v>937.98769961858352</v>
      </c>
      <c r="F241" s="16"/>
      <c r="G241" s="16">
        <f t="shared" si="20"/>
        <v>160456.53296066148</v>
      </c>
    </row>
    <row r="242" spans="2:7" x14ac:dyDescent="0.25">
      <c r="B242" s="10">
        <v>232</v>
      </c>
      <c r="C242" s="16">
        <f t="shared" si="17"/>
        <v>1610.4648690364172</v>
      </c>
      <c r="D242" s="16">
        <f t="shared" si="18"/>
        <v>668.56888733608946</v>
      </c>
      <c r="E242" s="16">
        <f t="shared" si="19"/>
        <v>941.89598170032775</v>
      </c>
      <c r="F242" s="16"/>
      <c r="G242" s="16">
        <f t="shared" si="20"/>
        <v>159514.63697896115</v>
      </c>
    </row>
    <row r="243" spans="2:7" x14ac:dyDescent="0.25">
      <c r="B243" s="10">
        <v>233</v>
      </c>
      <c r="C243" s="16">
        <f t="shared" si="17"/>
        <v>1610.4648690364172</v>
      </c>
      <c r="D243" s="16">
        <f t="shared" si="18"/>
        <v>664.64432074567139</v>
      </c>
      <c r="E243" s="16">
        <f t="shared" si="19"/>
        <v>945.82054829074582</v>
      </c>
      <c r="F243" s="16"/>
      <c r="G243" s="16">
        <f t="shared" si="20"/>
        <v>158568.81643067041</v>
      </c>
    </row>
    <row r="244" spans="2:7" x14ac:dyDescent="0.25">
      <c r="B244" s="10">
        <v>234</v>
      </c>
      <c r="C244" s="16">
        <f t="shared" si="17"/>
        <v>1610.4648690364172</v>
      </c>
      <c r="D244" s="16">
        <f t="shared" si="18"/>
        <v>660.70340179446009</v>
      </c>
      <c r="E244" s="16">
        <f t="shared" si="19"/>
        <v>949.76146724195712</v>
      </c>
      <c r="F244" s="16"/>
      <c r="G244" s="16">
        <f t="shared" si="20"/>
        <v>157619.05496342847</v>
      </c>
    </row>
    <row r="245" spans="2:7" x14ac:dyDescent="0.25">
      <c r="B245" s="10">
        <v>235</v>
      </c>
      <c r="C245" s="16">
        <f t="shared" si="17"/>
        <v>1610.4648690364172</v>
      </c>
      <c r="D245" s="16">
        <f t="shared" si="18"/>
        <v>656.74606234761859</v>
      </c>
      <c r="E245" s="16">
        <f t="shared" si="19"/>
        <v>953.71880668879862</v>
      </c>
      <c r="F245" s="16"/>
      <c r="G245" s="16">
        <f t="shared" si="20"/>
        <v>156665.33615673968</v>
      </c>
    </row>
    <row r="246" spans="2:7" x14ac:dyDescent="0.25">
      <c r="B246" s="10">
        <v>236</v>
      </c>
      <c r="C246" s="16">
        <f t="shared" si="17"/>
        <v>1610.4648690364172</v>
      </c>
      <c r="D246" s="16">
        <f t="shared" si="18"/>
        <v>652.77223398641536</v>
      </c>
      <c r="E246" s="16">
        <f t="shared" si="19"/>
        <v>957.69263505000185</v>
      </c>
      <c r="F246" s="16"/>
      <c r="G246" s="16">
        <f t="shared" si="20"/>
        <v>155707.64352168966</v>
      </c>
    </row>
    <row r="247" spans="2:7" x14ac:dyDescent="0.25">
      <c r="B247" s="10">
        <v>237</v>
      </c>
      <c r="C247" s="16">
        <f t="shared" si="17"/>
        <v>1610.4648690364172</v>
      </c>
      <c r="D247" s="16">
        <f t="shared" si="18"/>
        <v>648.78184800704025</v>
      </c>
      <c r="E247" s="16">
        <f t="shared" si="19"/>
        <v>961.68302102937696</v>
      </c>
      <c r="F247" s="16"/>
      <c r="G247" s="16">
        <f t="shared" si="20"/>
        <v>154745.96050066029</v>
      </c>
    </row>
    <row r="248" spans="2:7" x14ac:dyDescent="0.25">
      <c r="B248" s="10">
        <v>238</v>
      </c>
      <c r="C248" s="16">
        <f t="shared" si="17"/>
        <v>1610.4648690364172</v>
      </c>
      <c r="D248" s="16">
        <f t="shared" si="18"/>
        <v>644.77483541941785</v>
      </c>
      <c r="E248" s="16">
        <f t="shared" si="19"/>
        <v>965.69003361699936</v>
      </c>
      <c r="F248" s="16"/>
      <c r="G248" s="16">
        <f t="shared" si="20"/>
        <v>153780.2704670433</v>
      </c>
    </row>
    <row r="249" spans="2:7" x14ac:dyDescent="0.25">
      <c r="B249" s="10">
        <v>239</v>
      </c>
      <c r="C249" s="16">
        <f t="shared" si="17"/>
        <v>1610.4648690364172</v>
      </c>
      <c r="D249" s="16">
        <f t="shared" si="18"/>
        <v>640.75112694601376</v>
      </c>
      <c r="E249" s="16">
        <f t="shared" si="19"/>
        <v>969.71374209040346</v>
      </c>
      <c r="F249" s="16"/>
      <c r="G249" s="16">
        <f t="shared" si="20"/>
        <v>152810.55672495291</v>
      </c>
    </row>
    <row r="250" spans="2:7" x14ac:dyDescent="0.25">
      <c r="B250" s="10">
        <v>240</v>
      </c>
      <c r="C250" s="16">
        <f t="shared" si="17"/>
        <v>1610.4648690364172</v>
      </c>
      <c r="D250" s="16">
        <f t="shared" si="18"/>
        <v>636.7106530206371</v>
      </c>
      <c r="E250" s="16">
        <f t="shared" si="19"/>
        <v>973.75421601578012</v>
      </c>
      <c r="F250" s="16"/>
      <c r="G250" s="16">
        <f t="shared" si="20"/>
        <v>151836.80250893714</v>
      </c>
    </row>
    <row r="251" spans="2:7" x14ac:dyDescent="0.25">
      <c r="B251" s="10">
        <v>241</v>
      </c>
      <c r="C251" s="16">
        <f t="shared" si="17"/>
        <v>1610.4648690364172</v>
      </c>
      <c r="D251" s="16">
        <f t="shared" si="18"/>
        <v>632.6533437872381</v>
      </c>
      <c r="E251" s="16">
        <f t="shared" si="19"/>
        <v>977.81152524917911</v>
      </c>
      <c r="F251" s="16"/>
      <c r="G251" s="16">
        <f t="shared" si="20"/>
        <v>150858.99098368795</v>
      </c>
    </row>
    <row r="252" spans="2:7" x14ac:dyDescent="0.25">
      <c r="B252" s="10">
        <v>242</v>
      </c>
      <c r="C252" s="16">
        <f t="shared" si="17"/>
        <v>1610.4648690364172</v>
      </c>
      <c r="D252" s="16">
        <f t="shared" si="18"/>
        <v>628.57912909869981</v>
      </c>
      <c r="E252" s="16">
        <f t="shared" si="19"/>
        <v>981.8857399377174</v>
      </c>
      <c r="F252" s="16"/>
      <c r="G252" s="16">
        <f t="shared" si="20"/>
        <v>149877.10524375024</v>
      </c>
    </row>
    <row r="253" spans="2:7" x14ac:dyDescent="0.25">
      <c r="B253" s="10">
        <v>243</v>
      </c>
      <c r="C253" s="16">
        <f t="shared" si="17"/>
        <v>1610.4648690364172</v>
      </c>
      <c r="D253" s="16">
        <f t="shared" si="18"/>
        <v>624.48793851562596</v>
      </c>
      <c r="E253" s="16">
        <f t="shared" si="19"/>
        <v>985.97693052079126</v>
      </c>
      <c r="F253" s="16"/>
      <c r="G253" s="16">
        <f t="shared" si="20"/>
        <v>148891.12831322945</v>
      </c>
    </row>
    <row r="254" spans="2:7" x14ac:dyDescent="0.25">
      <c r="B254" s="10">
        <v>244</v>
      </c>
      <c r="C254" s="16">
        <f t="shared" si="17"/>
        <v>1610.4648690364172</v>
      </c>
      <c r="D254" s="16">
        <f t="shared" si="18"/>
        <v>620.37970130512269</v>
      </c>
      <c r="E254" s="16">
        <f t="shared" si="19"/>
        <v>990.08516773129452</v>
      </c>
      <c r="F254" s="16"/>
      <c r="G254" s="16">
        <f t="shared" si="20"/>
        <v>147901.04314549814</v>
      </c>
    </row>
    <row r="255" spans="2:7" x14ac:dyDescent="0.25">
      <c r="B255" s="10">
        <v>245</v>
      </c>
      <c r="C255" s="16">
        <f t="shared" si="17"/>
        <v>1610.4648690364172</v>
      </c>
      <c r="D255" s="16">
        <f t="shared" si="18"/>
        <v>616.25434643957556</v>
      </c>
      <c r="E255" s="16">
        <f t="shared" si="19"/>
        <v>994.21052259684166</v>
      </c>
      <c r="F255" s="16"/>
      <c r="G255" s="16">
        <f t="shared" si="20"/>
        <v>146906.8326229013</v>
      </c>
    </row>
    <row r="256" spans="2:7" x14ac:dyDescent="0.25">
      <c r="B256" s="10">
        <v>246</v>
      </c>
      <c r="C256" s="16">
        <f t="shared" si="17"/>
        <v>1610.4648690364172</v>
      </c>
      <c r="D256" s="16">
        <f t="shared" si="18"/>
        <v>612.11180259542209</v>
      </c>
      <c r="E256" s="16">
        <f t="shared" si="19"/>
        <v>998.35306644099512</v>
      </c>
      <c r="F256" s="16"/>
      <c r="G256" s="16">
        <f t="shared" si="20"/>
        <v>145908.47955646031</v>
      </c>
    </row>
    <row r="257" spans="2:7" x14ac:dyDescent="0.25">
      <c r="B257" s="10">
        <v>247</v>
      </c>
      <c r="C257" s="16">
        <f t="shared" si="17"/>
        <v>1610.4648690364172</v>
      </c>
      <c r="D257" s="16">
        <f t="shared" si="18"/>
        <v>607.95199815191791</v>
      </c>
      <c r="E257" s="16">
        <f t="shared" si="19"/>
        <v>1002.5128708844993</v>
      </c>
      <c r="F257" s="16"/>
      <c r="G257" s="16">
        <f t="shared" si="20"/>
        <v>144905.96668557581</v>
      </c>
    </row>
    <row r="258" spans="2:7" x14ac:dyDescent="0.25">
      <c r="B258" s="10">
        <v>248</v>
      </c>
      <c r="C258" s="16">
        <f t="shared" si="17"/>
        <v>1610.4648690364172</v>
      </c>
      <c r="D258" s="16">
        <f t="shared" si="18"/>
        <v>603.77486118989918</v>
      </c>
      <c r="E258" s="16">
        <f t="shared" si="19"/>
        <v>1006.690007846518</v>
      </c>
      <c r="F258" s="16"/>
      <c r="G258" s="16">
        <f t="shared" si="20"/>
        <v>143899.2766777293</v>
      </c>
    </row>
    <row r="259" spans="2:7" x14ac:dyDescent="0.25">
      <c r="B259" s="10">
        <v>249</v>
      </c>
      <c r="C259" s="16">
        <f t="shared" si="17"/>
        <v>1610.4648690364172</v>
      </c>
      <c r="D259" s="16">
        <f t="shared" si="18"/>
        <v>599.58031949053873</v>
      </c>
      <c r="E259" s="16">
        <f t="shared" si="19"/>
        <v>1010.8845495458785</v>
      </c>
      <c r="F259" s="16"/>
      <c r="G259" s="16">
        <f t="shared" si="20"/>
        <v>142888.39212818342</v>
      </c>
    </row>
    <row r="260" spans="2:7" x14ac:dyDescent="0.25">
      <c r="B260" s="10">
        <v>250</v>
      </c>
      <c r="C260" s="16">
        <f t="shared" si="17"/>
        <v>1610.4648690364172</v>
      </c>
      <c r="D260" s="16">
        <f t="shared" si="18"/>
        <v>595.36830053409756</v>
      </c>
      <c r="E260" s="16">
        <f t="shared" si="19"/>
        <v>1015.0965685023197</v>
      </c>
      <c r="F260" s="16"/>
      <c r="G260" s="16">
        <f t="shared" si="20"/>
        <v>141873.29555968111</v>
      </c>
    </row>
    <row r="261" spans="2:7" x14ac:dyDescent="0.25">
      <c r="B261" s="10">
        <v>251</v>
      </c>
      <c r="C261" s="16">
        <f t="shared" si="17"/>
        <v>1610.4648690364172</v>
      </c>
      <c r="D261" s="16">
        <f t="shared" si="18"/>
        <v>591.13873149867129</v>
      </c>
      <c r="E261" s="16">
        <f t="shared" si="19"/>
        <v>1019.3261375377459</v>
      </c>
      <c r="F261" s="16"/>
      <c r="G261" s="16">
        <f t="shared" si="20"/>
        <v>140853.96942214336</v>
      </c>
    </row>
    <row r="262" spans="2:7" x14ac:dyDescent="0.25">
      <c r="B262" s="10">
        <v>252</v>
      </c>
      <c r="C262" s="16">
        <f t="shared" ref="C262:C325" si="21">IF(G261&lt;$C$7,G261*(1+$C$4),$C$7)</f>
        <v>1610.4648690364172</v>
      </c>
      <c r="D262" s="16">
        <f t="shared" ref="D262:D325" si="22">G261*$C$4</f>
        <v>586.89153925893061</v>
      </c>
      <c r="E262" s="16">
        <f t="shared" ref="E262:E325" si="23">C262-D262</f>
        <v>1023.5733297774866</v>
      </c>
      <c r="F262" s="16"/>
      <c r="G262" s="16">
        <f t="shared" ref="G262:G325" si="24">G261-F262-E262</f>
        <v>139830.39609236587</v>
      </c>
    </row>
    <row r="263" spans="2:7" x14ac:dyDescent="0.25">
      <c r="B263" s="10">
        <v>253</v>
      </c>
      <c r="C263" s="16">
        <f t="shared" si="21"/>
        <v>1610.4648690364172</v>
      </c>
      <c r="D263" s="16">
        <f t="shared" si="22"/>
        <v>582.62665038485784</v>
      </c>
      <c r="E263" s="16">
        <f t="shared" si="23"/>
        <v>1027.8382186515594</v>
      </c>
      <c r="F263" s="16"/>
      <c r="G263" s="16">
        <f t="shared" si="24"/>
        <v>138802.55787371431</v>
      </c>
    </row>
    <row r="264" spans="2:7" x14ac:dyDescent="0.25">
      <c r="B264" s="10">
        <v>254</v>
      </c>
      <c r="C264" s="16">
        <f t="shared" si="21"/>
        <v>1610.4648690364172</v>
      </c>
      <c r="D264" s="16">
        <f t="shared" si="22"/>
        <v>578.34399114047631</v>
      </c>
      <c r="E264" s="16">
        <f t="shared" si="23"/>
        <v>1032.1208778959408</v>
      </c>
      <c r="F264" s="16"/>
      <c r="G264" s="16">
        <f t="shared" si="24"/>
        <v>137770.43699581837</v>
      </c>
    </row>
    <row r="265" spans="2:7" x14ac:dyDescent="0.25">
      <c r="B265" s="10">
        <v>255</v>
      </c>
      <c r="C265" s="16">
        <f t="shared" si="21"/>
        <v>1610.4648690364172</v>
      </c>
      <c r="D265" s="16">
        <f t="shared" si="22"/>
        <v>574.04348748257655</v>
      </c>
      <c r="E265" s="16">
        <f t="shared" si="23"/>
        <v>1036.4213815538405</v>
      </c>
      <c r="F265" s="16"/>
      <c r="G265" s="16">
        <f t="shared" si="24"/>
        <v>136734.01561426453</v>
      </c>
    </row>
    <row r="266" spans="2:7" x14ac:dyDescent="0.25">
      <c r="B266" s="10">
        <v>256</v>
      </c>
      <c r="C266" s="16">
        <f t="shared" si="21"/>
        <v>1610.4648690364172</v>
      </c>
      <c r="D266" s="16">
        <f t="shared" si="22"/>
        <v>569.72506505943556</v>
      </c>
      <c r="E266" s="16">
        <f t="shared" si="23"/>
        <v>1040.7398039769816</v>
      </c>
      <c r="F266" s="16"/>
      <c r="G266" s="16">
        <f t="shared" si="24"/>
        <v>135693.27581028754</v>
      </c>
    </row>
    <row r="267" spans="2:7" x14ac:dyDescent="0.25">
      <c r="B267" s="10">
        <v>257</v>
      </c>
      <c r="C267" s="16">
        <f t="shared" si="21"/>
        <v>1610.4648690364172</v>
      </c>
      <c r="D267" s="16">
        <f t="shared" si="22"/>
        <v>565.38864920953142</v>
      </c>
      <c r="E267" s="16">
        <f t="shared" si="23"/>
        <v>1045.0762198268858</v>
      </c>
      <c r="F267" s="16"/>
      <c r="G267" s="16">
        <f t="shared" si="24"/>
        <v>134648.19959046066</v>
      </c>
    </row>
    <row r="268" spans="2:7" x14ac:dyDescent="0.25">
      <c r="B268" s="10">
        <v>258</v>
      </c>
      <c r="C268" s="16">
        <f t="shared" si="21"/>
        <v>1610.4648690364172</v>
      </c>
      <c r="D268" s="16">
        <f t="shared" si="22"/>
        <v>561.03416496025272</v>
      </c>
      <c r="E268" s="16">
        <f t="shared" si="23"/>
        <v>1049.4307040761646</v>
      </c>
      <c r="F268" s="16"/>
      <c r="G268" s="16">
        <f t="shared" si="24"/>
        <v>133598.7688863845</v>
      </c>
    </row>
    <row r="269" spans="2:7" x14ac:dyDescent="0.25">
      <c r="B269" s="10">
        <v>259</v>
      </c>
      <c r="C269" s="16">
        <f t="shared" si="21"/>
        <v>1610.4648690364172</v>
      </c>
      <c r="D269" s="16">
        <f t="shared" si="22"/>
        <v>556.6615370266021</v>
      </c>
      <c r="E269" s="16">
        <f t="shared" si="23"/>
        <v>1053.8033320098152</v>
      </c>
      <c r="F269" s="16"/>
      <c r="G269" s="16">
        <f t="shared" si="24"/>
        <v>132544.96555437468</v>
      </c>
    </row>
    <row r="270" spans="2:7" x14ac:dyDescent="0.25">
      <c r="B270" s="10">
        <v>260</v>
      </c>
      <c r="C270" s="16">
        <f t="shared" si="21"/>
        <v>1610.4648690364172</v>
      </c>
      <c r="D270" s="16">
        <f t="shared" si="22"/>
        <v>552.27068980989452</v>
      </c>
      <c r="E270" s="16">
        <f t="shared" si="23"/>
        <v>1058.1941792265227</v>
      </c>
      <c r="F270" s="16"/>
      <c r="G270" s="16">
        <f t="shared" si="24"/>
        <v>131486.77137514815</v>
      </c>
    </row>
    <row r="271" spans="2:7" x14ac:dyDescent="0.25">
      <c r="B271" s="10">
        <v>261</v>
      </c>
      <c r="C271" s="16">
        <f t="shared" si="21"/>
        <v>1610.4648690364172</v>
      </c>
      <c r="D271" s="16">
        <f t="shared" si="22"/>
        <v>547.86154739645065</v>
      </c>
      <c r="E271" s="16">
        <f t="shared" si="23"/>
        <v>1062.6033216399665</v>
      </c>
      <c r="F271" s="16"/>
      <c r="G271" s="16">
        <f t="shared" si="24"/>
        <v>130424.16805350818</v>
      </c>
    </row>
    <row r="272" spans="2:7" x14ac:dyDescent="0.25">
      <c r="B272" s="10">
        <v>262</v>
      </c>
      <c r="C272" s="16">
        <f t="shared" si="21"/>
        <v>1610.4648690364172</v>
      </c>
      <c r="D272" s="16">
        <f t="shared" si="22"/>
        <v>543.43403355628413</v>
      </c>
      <c r="E272" s="16">
        <f t="shared" si="23"/>
        <v>1067.0308354801332</v>
      </c>
      <c r="F272" s="16"/>
      <c r="G272" s="16">
        <f t="shared" si="24"/>
        <v>129357.13721802805</v>
      </c>
    </row>
    <row r="273" spans="2:7" x14ac:dyDescent="0.25">
      <c r="B273" s="10">
        <v>263</v>
      </c>
      <c r="C273" s="16">
        <f t="shared" si="21"/>
        <v>1610.4648690364172</v>
      </c>
      <c r="D273" s="16">
        <f t="shared" si="22"/>
        <v>538.98807174178353</v>
      </c>
      <c r="E273" s="16">
        <f t="shared" si="23"/>
        <v>1071.4767972946338</v>
      </c>
      <c r="F273" s="16"/>
      <c r="G273" s="16">
        <f t="shared" si="24"/>
        <v>128285.66042073342</v>
      </c>
    </row>
    <row r="274" spans="2:7" x14ac:dyDescent="0.25">
      <c r="B274" s="10">
        <v>264</v>
      </c>
      <c r="C274" s="16">
        <f t="shared" si="21"/>
        <v>1610.4648690364172</v>
      </c>
      <c r="D274" s="16">
        <f t="shared" si="22"/>
        <v>534.52358508638918</v>
      </c>
      <c r="E274" s="16">
        <f t="shared" si="23"/>
        <v>1075.941283950028</v>
      </c>
      <c r="F274" s="16"/>
      <c r="G274" s="16">
        <f t="shared" si="24"/>
        <v>127209.71913678339</v>
      </c>
    </row>
    <row r="275" spans="2:7" x14ac:dyDescent="0.25">
      <c r="B275" s="10">
        <v>265</v>
      </c>
      <c r="C275" s="16">
        <f t="shared" si="21"/>
        <v>1610.4648690364172</v>
      </c>
      <c r="D275" s="16">
        <f t="shared" si="22"/>
        <v>530.04049640326411</v>
      </c>
      <c r="E275" s="16">
        <f t="shared" si="23"/>
        <v>1080.4243726331531</v>
      </c>
      <c r="F275" s="16"/>
      <c r="G275" s="16">
        <f t="shared" si="24"/>
        <v>126129.29476415024</v>
      </c>
    </row>
    <row r="276" spans="2:7" x14ac:dyDescent="0.25">
      <c r="B276" s="10">
        <v>266</v>
      </c>
      <c r="C276" s="16">
        <f t="shared" si="21"/>
        <v>1610.4648690364172</v>
      </c>
      <c r="D276" s="16">
        <f t="shared" si="22"/>
        <v>525.53872818395928</v>
      </c>
      <c r="E276" s="16">
        <f t="shared" si="23"/>
        <v>1084.926140852458</v>
      </c>
      <c r="F276" s="16"/>
      <c r="G276" s="16">
        <f t="shared" si="24"/>
        <v>125044.36862329778</v>
      </c>
    </row>
    <row r="277" spans="2:7" x14ac:dyDescent="0.25">
      <c r="B277" s="10">
        <v>267</v>
      </c>
      <c r="C277" s="16">
        <f t="shared" si="21"/>
        <v>1610.4648690364172</v>
      </c>
      <c r="D277" s="16">
        <f t="shared" si="22"/>
        <v>521.01820259707404</v>
      </c>
      <c r="E277" s="16">
        <f t="shared" si="23"/>
        <v>1089.4466664393431</v>
      </c>
      <c r="F277" s="16"/>
      <c r="G277" s="16">
        <f t="shared" si="24"/>
        <v>123954.92195685844</v>
      </c>
    </row>
    <row r="278" spans="2:7" x14ac:dyDescent="0.25">
      <c r="B278" s="10">
        <v>268</v>
      </c>
      <c r="C278" s="16">
        <f t="shared" si="21"/>
        <v>1610.4648690364172</v>
      </c>
      <c r="D278" s="16">
        <f t="shared" si="22"/>
        <v>516.47884148691014</v>
      </c>
      <c r="E278" s="16">
        <f t="shared" si="23"/>
        <v>1093.9860275495071</v>
      </c>
      <c r="F278" s="16"/>
      <c r="G278" s="16">
        <f t="shared" si="24"/>
        <v>122860.93592930894</v>
      </c>
    </row>
    <row r="279" spans="2:7" x14ac:dyDescent="0.25">
      <c r="B279" s="10">
        <v>269</v>
      </c>
      <c r="C279" s="16">
        <f t="shared" si="21"/>
        <v>1610.4648690364172</v>
      </c>
      <c r="D279" s="16">
        <f t="shared" si="22"/>
        <v>511.92056637212056</v>
      </c>
      <c r="E279" s="16">
        <f t="shared" si="23"/>
        <v>1098.5443026642965</v>
      </c>
      <c r="F279" s="16"/>
      <c r="G279" s="16">
        <f t="shared" si="24"/>
        <v>121762.39162664465</v>
      </c>
    </row>
    <row r="280" spans="2:7" x14ac:dyDescent="0.25">
      <c r="B280" s="10">
        <v>270</v>
      </c>
      <c r="C280" s="16">
        <f t="shared" si="21"/>
        <v>1610.4648690364172</v>
      </c>
      <c r="D280" s="16">
        <f t="shared" si="22"/>
        <v>507.34329844435268</v>
      </c>
      <c r="E280" s="16">
        <f t="shared" si="23"/>
        <v>1103.1215705920645</v>
      </c>
      <c r="F280" s="16"/>
      <c r="G280" s="16">
        <f t="shared" si="24"/>
        <v>120659.27005605258</v>
      </c>
    </row>
    <row r="281" spans="2:7" x14ac:dyDescent="0.25">
      <c r="B281" s="10">
        <v>271</v>
      </c>
      <c r="C281" s="16">
        <f t="shared" si="21"/>
        <v>1610.4648690364172</v>
      </c>
      <c r="D281" s="16">
        <f t="shared" si="22"/>
        <v>502.74695856688578</v>
      </c>
      <c r="E281" s="16">
        <f t="shared" si="23"/>
        <v>1107.7179104695315</v>
      </c>
      <c r="F281" s="16"/>
      <c r="G281" s="16">
        <f t="shared" si="24"/>
        <v>119551.55214558306</v>
      </c>
    </row>
    <row r="282" spans="2:7" x14ac:dyDescent="0.25">
      <c r="B282" s="10">
        <v>272</v>
      </c>
      <c r="C282" s="16">
        <f t="shared" si="21"/>
        <v>1610.4648690364172</v>
      </c>
      <c r="D282" s="16">
        <f t="shared" si="22"/>
        <v>498.13146727326273</v>
      </c>
      <c r="E282" s="16">
        <f t="shared" si="23"/>
        <v>1112.3334017631546</v>
      </c>
      <c r="F282" s="16"/>
      <c r="G282" s="16">
        <f t="shared" si="24"/>
        <v>118439.2187438199</v>
      </c>
    </row>
    <row r="283" spans="2:7" x14ac:dyDescent="0.25">
      <c r="B283" s="10">
        <v>273</v>
      </c>
      <c r="C283" s="16">
        <f t="shared" si="21"/>
        <v>1610.4648690364172</v>
      </c>
      <c r="D283" s="16">
        <f t="shared" si="22"/>
        <v>493.49674476591628</v>
      </c>
      <c r="E283" s="16">
        <f t="shared" si="23"/>
        <v>1116.968124270501</v>
      </c>
      <c r="F283" s="16"/>
      <c r="G283" s="16">
        <f t="shared" si="24"/>
        <v>117322.25061954941</v>
      </c>
    </row>
    <row r="284" spans="2:7" x14ac:dyDescent="0.25">
      <c r="B284" s="10">
        <v>274</v>
      </c>
      <c r="C284" s="16">
        <f t="shared" si="21"/>
        <v>1610.4648690364172</v>
      </c>
      <c r="D284" s="16">
        <f t="shared" si="22"/>
        <v>488.84271091478917</v>
      </c>
      <c r="E284" s="16">
        <f t="shared" si="23"/>
        <v>1121.622158121628</v>
      </c>
      <c r="F284" s="16"/>
      <c r="G284" s="16">
        <f t="shared" si="24"/>
        <v>116200.62846142778</v>
      </c>
    </row>
    <row r="285" spans="2:7" x14ac:dyDescent="0.25">
      <c r="B285" s="10">
        <v>275</v>
      </c>
      <c r="C285" s="16">
        <f t="shared" si="21"/>
        <v>1610.4648690364172</v>
      </c>
      <c r="D285" s="16">
        <f t="shared" si="22"/>
        <v>484.16928525594909</v>
      </c>
      <c r="E285" s="16">
        <f t="shared" si="23"/>
        <v>1126.2955837804682</v>
      </c>
      <c r="F285" s="16"/>
      <c r="G285" s="16">
        <f t="shared" si="24"/>
        <v>115074.33287764732</v>
      </c>
    </row>
    <row r="286" spans="2:7" x14ac:dyDescent="0.25">
      <c r="B286" s="10">
        <v>276</v>
      </c>
      <c r="C286" s="16">
        <f t="shared" si="21"/>
        <v>1610.4648690364172</v>
      </c>
      <c r="D286" s="16">
        <f t="shared" si="22"/>
        <v>479.47638699019717</v>
      </c>
      <c r="E286" s="16">
        <f t="shared" si="23"/>
        <v>1130.98848204622</v>
      </c>
      <c r="F286" s="16"/>
      <c r="G286" s="16">
        <f t="shared" si="24"/>
        <v>113943.3443956011</v>
      </c>
    </row>
    <row r="287" spans="2:7" x14ac:dyDescent="0.25">
      <c r="B287" s="10">
        <v>277</v>
      </c>
      <c r="C287" s="16">
        <f t="shared" si="21"/>
        <v>1610.4648690364172</v>
      </c>
      <c r="D287" s="16">
        <f t="shared" si="22"/>
        <v>474.76393498167124</v>
      </c>
      <c r="E287" s="16">
        <f t="shared" si="23"/>
        <v>1135.7009340547461</v>
      </c>
      <c r="F287" s="16"/>
      <c r="G287" s="16">
        <f t="shared" si="24"/>
        <v>112807.64346154635</v>
      </c>
    </row>
    <row r="288" spans="2:7" x14ac:dyDescent="0.25">
      <c r="B288" s="10">
        <v>278</v>
      </c>
      <c r="C288" s="16">
        <f t="shared" si="21"/>
        <v>1610.4648690364172</v>
      </c>
      <c r="D288" s="16">
        <f t="shared" si="22"/>
        <v>470.03184775644314</v>
      </c>
      <c r="E288" s="16">
        <f t="shared" si="23"/>
        <v>1140.4330212799741</v>
      </c>
      <c r="F288" s="16"/>
      <c r="G288" s="16">
        <f t="shared" si="24"/>
        <v>111667.21044026638</v>
      </c>
    </row>
    <row r="289" spans="2:7" x14ac:dyDescent="0.25">
      <c r="B289" s="10">
        <v>279</v>
      </c>
      <c r="C289" s="16">
        <f t="shared" si="21"/>
        <v>1610.4648690364172</v>
      </c>
      <c r="D289" s="16">
        <f t="shared" si="22"/>
        <v>465.2800435011099</v>
      </c>
      <c r="E289" s="16">
        <f t="shared" si="23"/>
        <v>1145.1848255353073</v>
      </c>
      <c r="F289" s="16"/>
      <c r="G289" s="16">
        <f t="shared" si="24"/>
        <v>110522.02561473107</v>
      </c>
    </row>
    <row r="290" spans="2:7" x14ac:dyDescent="0.25">
      <c r="B290" s="10">
        <v>280</v>
      </c>
      <c r="C290" s="16">
        <f t="shared" si="21"/>
        <v>1610.4648690364172</v>
      </c>
      <c r="D290" s="16">
        <f t="shared" si="22"/>
        <v>460.50844006137947</v>
      </c>
      <c r="E290" s="16">
        <f t="shared" si="23"/>
        <v>1149.9564289750379</v>
      </c>
      <c r="F290" s="16"/>
      <c r="G290" s="16">
        <f t="shared" si="24"/>
        <v>109372.06918575603</v>
      </c>
    </row>
    <row r="291" spans="2:7" x14ac:dyDescent="0.25">
      <c r="B291" s="10">
        <v>281</v>
      </c>
      <c r="C291" s="16">
        <f t="shared" si="21"/>
        <v>1610.4648690364172</v>
      </c>
      <c r="D291" s="16">
        <f t="shared" si="22"/>
        <v>455.71695494065011</v>
      </c>
      <c r="E291" s="16">
        <f t="shared" si="23"/>
        <v>1154.7479140957671</v>
      </c>
      <c r="F291" s="16"/>
      <c r="G291" s="16">
        <f t="shared" si="24"/>
        <v>108217.32127166026</v>
      </c>
    </row>
    <row r="292" spans="2:7" x14ac:dyDescent="0.25">
      <c r="B292" s="10">
        <v>282</v>
      </c>
      <c r="C292" s="16">
        <f t="shared" si="21"/>
        <v>1610.4648690364172</v>
      </c>
      <c r="D292" s="16">
        <f t="shared" si="22"/>
        <v>450.90550529858439</v>
      </c>
      <c r="E292" s="16">
        <f t="shared" si="23"/>
        <v>1159.5593637378329</v>
      </c>
      <c r="F292" s="16"/>
      <c r="G292" s="16">
        <f t="shared" si="24"/>
        <v>107057.76190792242</v>
      </c>
    </row>
    <row r="293" spans="2:7" x14ac:dyDescent="0.25">
      <c r="B293" s="10">
        <v>283</v>
      </c>
      <c r="C293" s="16">
        <f t="shared" si="21"/>
        <v>1610.4648690364172</v>
      </c>
      <c r="D293" s="16">
        <f t="shared" si="22"/>
        <v>446.07400794967674</v>
      </c>
      <c r="E293" s="16">
        <f t="shared" si="23"/>
        <v>1164.3908610867404</v>
      </c>
      <c r="F293" s="16"/>
      <c r="G293" s="16">
        <f t="shared" si="24"/>
        <v>105893.37104683569</v>
      </c>
    </row>
    <row r="294" spans="2:7" x14ac:dyDescent="0.25">
      <c r="B294" s="10">
        <v>284</v>
      </c>
      <c r="C294" s="16">
        <f t="shared" si="21"/>
        <v>1610.4648690364172</v>
      </c>
      <c r="D294" s="16">
        <f t="shared" si="22"/>
        <v>441.22237936181534</v>
      </c>
      <c r="E294" s="16">
        <f t="shared" si="23"/>
        <v>1169.242489674602</v>
      </c>
      <c r="F294" s="16"/>
      <c r="G294" s="16">
        <f t="shared" si="24"/>
        <v>104724.12855716108</v>
      </c>
    </row>
    <row r="295" spans="2:7" x14ac:dyDescent="0.25">
      <c r="B295" s="10">
        <v>285</v>
      </c>
      <c r="C295" s="16">
        <f t="shared" si="21"/>
        <v>1610.4648690364172</v>
      </c>
      <c r="D295" s="16">
        <f t="shared" si="22"/>
        <v>436.35053565483781</v>
      </c>
      <c r="E295" s="16">
        <f t="shared" si="23"/>
        <v>1174.1143333815794</v>
      </c>
      <c r="F295" s="16"/>
      <c r="G295" s="16">
        <f t="shared" si="24"/>
        <v>103550.01422377949</v>
      </c>
    </row>
    <row r="296" spans="2:7" x14ac:dyDescent="0.25">
      <c r="B296" s="10">
        <v>286</v>
      </c>
      <c r="C296" s="16">
        <f t="shared" si="21"/>
        <v>1610.4648690364172</v>
      </c>
      <c r="D296" s="16">
        <f t="shared" si="22"/>
        <v>431.45839259908121</v>
      </c>
      <c r="E296" s="16">
        <f t="shared" si="23"/>
        <v>1179.006476437336</v>
      </c>
      <c r="F296" s="16"/>
      <c r="G296" s="16">
        <f t="shared" si="24"/>
        <v>102371.00774734216</v>
      </c>
    </row>
    <row r="297" spans="2:7" x14ac:dyDescent="0.25">
      <c r="B297" s="10">
        <v>287</v>
      </c>
      <c r="C297" s="16">
        <f t="shared" si="21"/>
        <v>1610.4648690364172</v>
      </c>
      <c r="D297" s="16">
        <f t="shared" si="22"/>
        <v>426.54586561392563</v>
      </c>
      <c r="E297" s="16">
        <f t="shared" si="23"/>
        <v>1183.9190034224916</v>
      </c>
      <c r="F297" s="16"/>
      <c r="G297" s="16">
        <f t="shared" si="24"/>
        <v>101187.08874391967</v>
      </c>
    </row>
    <row r="298" spans="2:7" x14ac:dyDescent="0.25">
      <c r="B298" s="10">
        <v>288</v>
      </c>
      <c r="C298" s="16">
        <f t="shared" si="21"/>
        <v>1610.4648690364172</v>
      </c>
      <c r="D298" s="16">
        <f t="shared" si="22"/>
        <v>421.61286976633193</v>
      </c>
      <c r="E298" s="16">
        <f t="shared" si="23"/>
        <v>1188.8519992700853</v>
      </c>
      <c r="F298" s="16"/>
      <c r="G298" s="16">
        <f t="shared" si="24"/>
        <v>99998.236744649577</v>
      </c>
    </row>
    <row r="299" spans="2:7" x14ac:dyDescent="0.25">
      <c r="B299" s="10">
        <v>289</v>
      </c>
      <c r="C299" s="16">
        <f t="shared" si="21"/>
        <v>1610.4648690364172</v>
      </c>
      <c r="D299" s="16">
        <f t="shared" si="22"/>
        <v>416.65931976937321</v>
      </c>
      <c r="E299" s="16">
        <f t="shared" si="23"/>
        <v>1193.8055492670439</v>
      </c>
      <c r="F299" s="16"/>
      <c r="G299" s="16">
        <f t="shared" si="24"/>
        <v>98804.431195382538</v>
      </c>
    </row>
    <row r="300" spans="2:7" x14ac:dyDescent="0.25">
      <c r="B300" s="10">
        <v>290</v>
      </c>
      <c r="C300" s="16">
        <f t="shared" si="21"/>
        <v>1610.4648690364172</v>
      </c>
      <c r="D300" s="16">
        <f t="shared" si="22"/>
        <v>411.68512998076056</v>
      </c>
      <c r="E300" s="16">
        <f t="shared" si="23"/>
        <v>1198.7797390556566</v>
      </c>
      <c r="F300" s="16"/>
      <c r="G300" s="16">
        <f t="shared" si="24"/>
        <v>97605.651456326887</v>
      </c>
    </row>
    <row r="301" spans="2:7" x14ac:dyDescent="0.25">
      <c r="B301" s="10">
        <v>291</v>
      </c>
      <c r="C301" s="16">
        <f t="shared" si="21"/>
        <v>1610.4648690364172</v>
      </c>
      <c r="D301" s="16">
        <f t="shared" si="22"/>
        <v>406.69021440136203</v>
      </c>
      <c r="E301" s="16">
        <f t="shared" si="23"/>
        <v>1203.7746546350552</v>
      </c>
      <c r="F301" s="16"/>
      <c r="G301" s="16">
        <f t="shared" si="24"/>
        <v>96401.876801691833</v>
      </c>
    </row>
    <row r="302" spans="2:7" x14ac:dyDescent="0.25">
      <c r="B302" s="10">
        <v>292</v>
      </c>
      <c r="C302" s="16">
        <f t="shared" si="21"/>
        <v>1610.4648690364172</v>
      </c>
      <c r="D302" s="16">
        <f t="shared" si="22"/>
        <v>401.67448667371599</v>
      </c>
      <c r="E302" s="16">
        <f t="shared" si="23"/>
        <v>1208.7903823627012</v>
      </c>
      <c r="F302" s="16"/>
      <c r="G302" s="16">
        <f t="shared" si="24"/>
        <v>95193.086419329135</v>
      </c>
    </row>
    <row r="303" spans="2:7" x14ac:dyDescent="0.25">
      <c r="B303" s="10">
        <v>293</v>
      </c>
      <c r="C303" s="16">
        <f t="shared" si="21"/>
        <v>1610.4648690364172</v>
      </c>
      <c r="D303" s="16">
        <f t="shared" si="22"/>
        <v>396.63786008053808</v>
      </c>
      <c r="E303" s="16">
        <f t="shared" si="23"/>
        <v>1213.8270089558791</v>
      </c>
      <c r="F303" s="16"/>
      <c r="G303" s="16">
        <f t="shared" si="24"/>
        <v>93979.259410373255</v>
      </c>
    </row>
    <row r="304" spans="2:7" x14ac:dyDescent="0.25">
      <c r="B304" s="10">
        <v>294</v>
      </c>
      <c r="C304" s="16">
        <f t="shared" si="21"/>
        <v>1610.4648690364172</v>
      </c>
      <c r="D304" s="16">
        <f t="shared" si="22"/>
        <v>391.5802475432219</v>
      </c>
      <c r="E304" s="16">
        <f t="shared" si="23"/>
        <v>1218.8846214931953</v>
      </c>
      <c r="F304" s="16"/>
      <c r="G304" s="16">
        <f t="shared" si="24"/>
        <v>92760.374788880057</v>
      </c>
    </row>
    <row r="305" spans="2:7" x14ac:dyDescent="0.25">
      <c r="B305" s="10">
        <v>295</v>
      </c>
      <c r="C305" s="16">
        <f t="shared" si="21"/>
        <v>1610.4648690364172</v>
      </c>
      <c r="D305" s="16">
        <f t="shared" si="22"/>
        <v>386.50156162033358</v>
      </c>
      <c r="E305" s="16">
        <f t="shared" si="23"/>
        <v>1223.9633074160836</v>
      </c>
      <c r="F305" s="16"/>
      <c r="G305" s="16">
        <f t="shared" si="24"/>
        <v>91536.411481463976</v>
      </c>
    </row>
    <row r="306" spans="2:7" x14ac:dyDescent="0.25">
      <c r="B306" s="10">
        <v>296</v>
      </c>
      <c r="C306" s="16">
        <f t="shared" si="21"/>
        <v>1610.4648690364172</v>
      </c>
      <c r="D306" s="16">
        <f t="shared" si="22"/>
        <v>381.40171450609989</v>
      </c>
      <c r="E306" s="16">
        <f t="shared" si="23"/>
        <v>1229.0631545303172</v>
      </c>
      <c r="F306" s="16"/>
      <c r="G306" s="16">
        <f t="shared" si="24"/>
        <v>90307.348326933658</v>
      </c>
    </row>
    <row r="307" spans="2:7" x14ac:dyDescent="0.25">
      <c r="B307" s="10">
        <v>297</v>
      </c>
      <c r="C307" s="16">
        <f t="shared" si="21"/>
        <v>1610.4648690364172</v>
      </c>
      <c r="D307" s="16">
        <f t="shared" si="22"/>
        <v>376.28061802889022</v>
      </c>
      <c r="E307" s="16">
        <f t="shared" si="23"/>
        <v>1234.1842510075271</v>
      </c>
      <c r="F307" s="16"/>
      <c r="G307" s="16">
        <f t="shared" si="24"/>
        <v>89073.164075926135</v>
      </c>
    </row>
    <row r="308" spans="2:7" x14ac:dyDescent="0.25">
      <c r="B308" s="10">
        <v>298</v>
      </c>
      <c r="C308" s="16">
        <f t="shared" si="21"/>
        <v>1610.4648690364172</v>
      </c>
      <c r="D308" s="16">
        <f t="shared" si="22"/>
        <v>371.13818364969222</v>
      </c>
      <c r="E308" s="16">
        <f t="shared" si="23"/>
        <v>1239.3266853867249</v>
      </c>
      <c r="F308" s="16"/>
      <c r="G308" s="16">
        <f t="shared" si="24"/>
        <v>87833.837390539411</v>
      </c>
    </row>
    <row r="309" spans="2:7" x14ac:dyDescent="0.25">
      <c r="B309" s="10">
        <v>299</v>
      </c>
      <c r="C309" s="16">
        <f t="shared" si="21"/>
        <v>1610.4648690364172</v>
      </c>
      <c r="D309" s="16">
        <f t="shared" si="22"/>
        <v>365.97432246058088</v>
      </c>
      <c r="E309" s="16">
        <f t="shared" si="23"/>
        <v>1244.4905465758363</v>
      </c>
      <c r="F309" s="16"/>
      <c r="G309" s="16">
        <f t="shared" si="24"/>
        <v>86589.346843963576</v>
      </c>
    </row>
    <row r="310" spans="2:7" x14ac:dyDescent="0.25">
      <c r="B310" s="10">
        <v>300</v>
      </c>
      <c r="C310" s="16">
        <f t="shared" si="21"/>
        <v>1610.4648690364172</v>
      </c>
      <c r="D310" s="16">
        <f t="shared" si="22"/>
        <v>360.78894518318157</v>
      </c>
      <c r="E310" s="16">
        <f t="shared" si="23"/>
        <v>1249.6759238532356</v>
      </c>
      <c r="F310" s="16"/>
      <c r="G310" s="16">
        <f t="shared" si="24"/>
        <v>85339.670920110337</v>
      </c>
    </row>
    <row r="311" spans="2:7" x14ac:dyDescent="0.25">
      <c r="B311" s="10">
        <v>301</v>
      </c>
      <c r="C311" s="16">
        <f t="shared" si="21"/>
        <v>1610.4648690364172</v>
      </c>
      <c r="D311" s="16">
        <f t="shared" si="22"/>
        <v>355.58196216712639</v>
      </c>
      <c r="E311" s="16">
        <f t="shared" si="23"/>
        <v>1254.8829068692908</v>
      </c>
      <c r="F311" s="16"/>
      <c r="G311" s="16">
        <f t="shared" si="24"/>
        <v>84084.78801324105</v>
      </c>
    </row>
    <row r="312" spans="2:7" x14ac:dyDescent="0.25">
      <c r="B312" s="10">
        <v>302</v>
      </c>
      <c r="C312" s="16">
        <f t="shared" si="21"/>
        <v>1610.4648690364172</v>
      </c>
      <c r="D312" s="16">
        <f t="shared" si="22"/>
        <v>350.35328338850439</v>
      </c>
      <c r="E312" s="16">
        <f t="shared" si="23"/>
        <v>1260.1115856479128</v>
      </c>
      <c r="F312" s="16"/>
      <c r="G312" s="16">
        <f t="shared" si="24"/>
        <v>82824.676427593135</v>
      </c>
    </row>
    <row r="313" spans="2:7" x14ac:dyDescent="0.25">
      <c r="B313" s="10">
        <v>303</v>
      </c>
      <c r="C313" s="16">
        <f t="shared" si="21"/>
        <v>1610.4648690364172</v>
      </c>
      <c r="D313" s="16">
        <f t="shared" si="22"/>
        <v>345.10281844830473</v>
      </c>
      <c r="E313" s="16">
        <f t="shared" si="23"/>
        <v>1265.3620505881124</v>
      </c>
      <c r="F313" s="16"/>
      <c r="G313" s="16">
        <f t="shared" si="24"/>
        <v>81559.314377005023</v>
      </c>
    </row>
    <row r="314" spans="2:7" x14ac:dyDescent="0.25">
      <c r="B314" s="10">
        <v>304</v>
      </c>
      <c r="C314" s="16">
        <f t="shared" si="21"/>
        <v>1610.4648690364172</v>
      </c>
      <c r="D314" s="16">
        <f t="shared" si="22"/>
        <v>339.83047657085427</v>
      </c>
      <c r="E314" s="16">
        <f t="shared" si="23"/>
        <v>1270.634392465563</v>
      </c>
      <c r="F314" s="16"/>
      <c r="G314" s="16">
        <f t="shared" si="24"/>
        <v>80288.679984539456</v>
      </c>
    </row>
    <row r="315" spans="2:7" x14ac:dyDescent="0.25">
      <c r="B315" s="10">
        <v>305</v>
      </c>
      <c r="C315" s="16">
        <f t="shared" si="21"/>
        <v>1610.4648690364172</v>
      </c>
      <c r="D315" s="16">
        <f t="shared" si="22"/>
        <v>334.5361666022477</v>
      </c>
      <c r="E315" s="16">
        <f t="shared" si="23"/>
        <v>1275.9287024341695</v>
      </c>
      <c r="F315" s="16"/>
      <c r="G315" s="16">
        <f t="shared" si="24"/>
        <v>79012.751282105281</v>
      </c>
    </row>
    <row r="316" spans="2:7" x14ac:dyDescent="0.25">
      <c r="B316" s="10">
        <v>306</v>
      </c>
      <c r="C316" s="16">
        <f t="shared" si="21"/>
        <v>1610.4648690364172</v>
      </c>
      <c r="D316" s="16">
        <f t="shared" si="22"/>
        <v>329.21979700877199</v>
      </c>
      <c r="E316" s="16">
        <f t="shared" si="23"/>
        <v>1281.2450720276452</v>
      </c>
      <c r="F316" s="16"/>
      <c r="G316" s="16">
        <f t="shared" si="24"/>
        <v>77731.506210077641</v>
      </c>
    </row>
    <row r="317" spans="2:7" x14ac:dyDescent="0.25">
      <c r="B317" s="10">
        <v>307</v>
      </c>
      <c r="C317" s="16">
        <f t="shared" si="21"/>
        <v>1610.4648690364172</v>
      </c>
      <c r="D317" s="16">
        <f t="shared" si="22"/>
        <v>323.88127587532352</v>
      </c>
      <c r="E317" s="16">
        <f t="shared" si="23"/>
        <v>1286.5835931610936</v>
      </c>
      <c r="F317" s="16"/>
      <c r="G317" s="16">
        <f t="shared" si="24"/>
        <v>76444.922616916549</v>
      </c>
    </row>
    <row r="318" spans="2:7" x14ac:dyDescent="0.25">
      <c r="B318" s="10">
        <v>308</v>
      </c>
      <c r="C318" s="16">
        <f t="shared" si="21"/>
        <v>1610.4648690364172</v>
      </c>
      <c r="D318" s="16">
        <f t="shared" si="22"/>
        <v>318.52051090381894</v>
      </c>
      <c r="E318" s="16">
        <f t="shared" si="23"/>
        <v>1291.9443581325982</v>
      </c>
      <c r="F318" s="16"/>
      <c r="G318" s="16">
        <f t="shared" si="24"/>
        <v>75152.978258783944</v>
      </c>
    </row>
    <row r="319" spans="2:7" x14ac:dyDescent="0.25">
      <c r="B319" s="10">
        <v>309</v>
      </c>
      <c r="C319" s="16">
        <f t="shared" si="21"/>
        <v>1610.4648690364172</v>
      </c>
      <c r="D319" s="16">
        <f t="shared" si="22"/>
        <v>313.13740941159978</v>
      </c>
      <c r="E319" s="16">
        <f t="shared" si="23"/>
        <v>1297.3274596248175</v>
      </c>
      <c r="F319" s="16"/>
      <c r="G319" s="16">
        <f t="shared" si="24"/>
        <v>73855.650799159121</v>
      </c>
    </row>
    <row r="320" spans="2:7" x14ac:dyDescent="0.25">
      <c r="B320" s="10">
        <v>310</v>
      </c>
      <c r="C320" s="16">
        <f t="shared" si="21"/>
        <v>1610.4648690364172</v>
      </c>
      <c r="D320" s="16">
        <f t="shared" si="22"/>
        <v>307.73187832982967</v>
      </c>
      <c r="E320" s="16">
        <f t="shared" si="23"/>
        <v>1302.7329907065875</v>
      </c>
      <c r="F320" s="16"/>
      <c r="G320" s="16">
        <f t="shared" si="24"/>
        <v>72552.917808452534</v>
      </c>
    </row>
    <row r="321" spans="2:7" x14ac:dyDescent="0.25">
      <c r="B321" s="10">
        <v>311</v>
      </c>
      <c r="C321" s="16">
        <f t="shared" si="21"/>
        <v>1610.4648690364172</v>
      </c>
      <c r="D321" s="16">
        <f t="shared" si="22"/>
        <v>302.30382420188556</v>
      </c>
      <c r="E321" s="16">
        <f t="shared" si="23"/>
        <v>1308.1610448345316</v>
      </c>
      <c r="F321" s="16"/>
      <c r="G321" s="16">
        <f t="shared" si="24"/>
        <v>71244.756763618003</v>
      </c>
    </row>
    <row r="322" spans="2:7" x14ac:dyDescent="0.25">
      <c r="B322" s="10">
        <v>312</v>
      </c>
      <c r="C322" s="16">
        <f t="shared" si="21"/>
        <v>1610.4648690364172</v>
      </c>
      <c r="D322" s="16">
        <f t="shared" si="22"/>
        <v>296.85315318174167</v>
      </c>
      <c r="E322" s="16">
        <f t="shared" si="23"/>
        <v>1313.6117158546756</v>
      </c>
      <c r="F322" s="16"/>
      <c r="G322" s="16">
        <f t="shared" si="24"/>
        <v>69931.145047763333</v>
      </c>
    </row>
    <row r="323" spans="2:7" x14ac:dyDescent="0.25">
      <c r="B323" s="10">
        <v>313</v>
      </c>
      <c r="C323" s="16">
        <f t="shared" si="21"/>
        <v>1610.4648690364172</v>
      </c>
      <c r="D323" s="16">
        <f t="shared" si="22"/>
        <v>291.37977103234721</v>
      </c>
      <c r="E323" s="16">
        <f t="shared" si="23"/>
        <v>1319.08509800407</v>
      </c>
      <c r="F323" s="16"/>
      <c r="G323" s="16">
        <f t="shared" si="24"/>
        <v>68612.059949759263</v>
      </c>
    </row>
    <row r="324" spans="2:7" x14ac:dyDescent="0.25">
      <c r="B324" s="10">
        <v>314</v>
      </c>
      <c r="C324" s="16">
        <f t="shared" si="21"/>
        <v>1610.4648690364172</v>
      </c>
      <c r="D324" s="16">
        <f t="shared" si="22"/>
        <v>285.88358312399691</v>
      </c>
      <c r="E324" s="16">
        <f t="shared" si="23"/>
        <v>1324.5812859124203</v>
      </c>
      <c r="F324" s="16"/>
      <c r="G324" s="16">
        <f t="shared" si="24"/>
        <v>67287.478663846836</v>
      </c>
    </row>
    <row r="325" spans="2:7" x14ac:dyDescent="0.25">
      <c r="B325" s="10">
        <v>315</v>
      </c>
      <c r="C325" s="16">
        <f t="shared" si="21"/>
        <v>1610.4648690364172</v>
      </c>
      <c r="D325" s="16">
        <f t="shared" si="22"/>
        <v>280.36449443269515</v>
      </c>
      <c r="E325" s="16">
        <f t="shared" si="23"/>
        <v>1330.100374603722</v>
      </c>
      <c r="F325" s="16"/>
      <c r="G325" s="16">
        <f t="shared" si="24"/>
        <v>65957.378289243119</v>
      </c>
    </row>
    <row r="326" spans="2:7" x14ac:dyDescent="0.25">
      <c r="B326" s="10">
        <v>316</v>
      </c>
      <c r="C326" s="16">
        <f t="shared" ref="C326:C370" si="25">IF(G325&lt;$C$7,G325*(1+$C$4),$C$7)</f>
        <v>1610.4648690364172</v>
      </c>
      <c r="D326" s="16">
        <f t="shared" ref="D326:D370" si="26">G325*$C$4</f>
        <v>274.822409538513</v>
      </c>
      <c r="E326" s="16">
        <f t="shared" ref="E326:E370" si="27">C326-D326</f>
        <v>1335.6424594979042</v>
      </c>
      <c r="F326" s="16"/>
      <c r="G326" s="16">
        <f t="shared" ref="G326:G370" si="28">G325-F326-E326</f>
        <v>64621.735829745216</v>
      </c>
    </row>
    <row r="327" spans="2:7" x14ac:dyDescent="0.25">
      <c r="B327" s="10">
        <v>317</v>
      </c>
      <c r="C327" s="16">
        <f t="shared" si="25"/>
        <v>1610.4648690364172</v>
      </c>
      <c r="D327" s="16">
        <f t="shared" si="26"/>
        <v>269.25723262393842</v>
      </c>
      <c r="E327" s="16">
        <f t="shared" si="27"/>
        <v>1341.2076364124787</v>
      </c>
      <c r="F327" s="16"/>
      <c r="G327" s="16">
        <f t="shared" si="28"/>
        <v>63280.528193332735</v>
      </c>
    </row>
    <row r="328" spans="2:7" x14ac:dyDescent="0.25">
      <c r="B328" s="10">
        <v>318</v>
      </c>
      <c r="C328" s="16">
        <f t="shared" si="25"/>
        <v>1610.4648690364172</v>
      </c>
      <c r="D328" s="16">
        <f t="shared" si="26"/>
        <v>263.66886747221974</v>
      </c>
      <c r="E328" s="16">
        <f t="shared" si="27"/>
        <v>1346.7960015641975</v>
      </c>
      <c r="F328" s="16"/>
      <c r="G328" s="16">
        <f t="shared" si="28"/>
        <v>61933.73219176854</v>
      </c>
    </row>
    <row r="329" spans="2:7" x14ac:dyDescent="0.25">
      <c r="B329" s="10">
        <v>319</v>
      </c>
      <c r="C329" s="16">
        <f t="shared" si="25"/>
        <v>1610.4648690364172</v>
      </c>
      <c r="D329" s="16">
        <f t="shared" si="26"/>
        <v>258.05721746570225</v>
      </c>
      <c r="E329" s="16">
        <f t="shared" si="27"/>
        <v>1352.407651570715</v>
      </c>
      <c r="F329" s="16"/>
      <c r="G329" s="16">
        <f t="shared" si="28"/>
        <v>60581.324540197827</v>
      </c>
    </row>
    <row r="330" spans="2:7" x14ac:dyDescent="0.25">
      <c r="B330" s="10">
        <v>320</v>
      </c>
      <c r="C330" s="16">
        <f t="shared" si="25"/>
        <v>1610.4648690364172</v>
      </c>
      <c r="D330" s="16">
        <f t="shared" si="26"/>
        <v>252.4221855841576</v>
      </c>
      <c r="E330" s="16">
        <f t="shared" si="27"/>
        <v>1358.0426834522596</v>
      </c>
      <c r="F330" s="16"/>
      <c r="G330" s="16">
        <f t="shared" si="28"/>
        <v>59223.281856745569</v>
      </c>
    </row>
    <row r="331" spans="2:7" x14ac:dyDescent="0.25">
      <c r="B331" s="10">
        <v>321</v>
      </c>
      <c r="C331" s="16">
        <f t="shared" si="25"/>
        <v>1610.4648690364172</v>
      </c>
      <c r="D331" s="16">
        <f t="shared" si="26"/>
        <v>246.76367440310653</v>
      </c>
      <c r="E331" s="16">
        <f t="shared" si="27"/>
        <v>1363.7011946333107</v>
      </c>
      <c r="F331" s="16"/>
      <c r="G331" s="16">
        <f t="shared" si="28"/>
        <v>57859.580662112261</v>
      </c>
    </row>
    <row r="332" spans="2:7" x14ac:dyDescent="0.25">
      <c r="B332" s="10">
        <v>322</v>
      </c>
      <c r="C332" s="16">
        <f t="shared" si="25"/>
        <v>1610.4648690364172</v>
      </c>
      <c r="D332" s="16">
        <f t="shared" si="26"/>
        <v>241.08158609213442</v>
      </c>
      <c r="E332" s="16">
        <f t="shared" si="27"/>
        <v>1369.3832829442829</v>
      </c>
      <c r="F332" s="16"/>
      <c r="G332" s="16">
        <f t="shared" si="28"/>
        <v>56490.197379167977</v>
      </c>
    </row>
    <row r="333" spans="2:7" x14ac:dyDescent="0.25">
      <c r="B333" s="10">
        <v>323</v>
      </c>
      <c r="C333" s="16">
        <f t="shared" si="25"/>
        <v>1610.4648690364172</v>
      </c>
      <c r="D333" s="16">
        <f t="shared" si="26"/>
        <v>235.3758224131999</v>
      </c>
      <c r="E333" s="16">
        <f t="shared" si="27"/>
        <v>1375.0890466232172</v>
      </c>
      <c r="F333" s="16"/>
      <c r="G333" s="16">
        <f t="shared" si="28"/>
        <v>55115.108332544762</v>
      </c>
    </row>
    <row r="334" spans="2:7" x14ac:dyDescent="0.25">
      <c r="B334" s="10">
        <v>324</v>
      </c>
      <c r="C334" s="16">
        <f t="shared" si="25"/>
        <v>1610.4648690364172</v>
      </c>
      <c r="D334" s="16">
        <f t="shared" si="26"/>
        <v>229.6462847189365</v>
      </c>
      <c r="E334" s="16">
        <f t="shared" si="27"/>
        <v>1380.8185843174806</v>
      </c>
      <c r="F334" s="16"/>
      <c r="G334" s="16">
        <f t="shared" si="28"/>
        <v>53734.289748227282</v>
      </c>
    </row>
    <row r="335" spans="2:7" x14ac:dyDescent="0.25">
      <c r="B335" s="10">
        <v>325</v>
      </c>
      <c r="C335" s="16">
        <f t="shared" si="25"/>
        <v>1610.4648690364172</v>
      </c>
      <c r="D335" s="16">
        <f t="shared" si="26"/>
        <v>223.89287395094701</v>
      </c>
      <c r="E335" s="16">
        <f t="shared" si="27"/>
        <v>1386.5719950854702</v>
      </c>
      <c r="F335" s="16"/>
      <c r="G335" s="16">
        <f t="shared" si="28"/>
        <v>52347.717753141813</v>
      </c>
    </row>
    <row r="336" spans="2:7" x14ac:dyDescent="0.25">
      <c r="B336" s="10">
        <v>326</v>
      </c>
      <c r="C336" s="16">
        <f t="shared" si="25"/>
        <v>1610.4648690364172</v>
      </c>
      <c r="D336" s="16">
        <f t="shared" si="26"/>
        <v>218.11549063809088</v>
      </c>
      <c r="E336" s="16">
        <f t="shared" si="27"/>
        <v>1392.3493783983263</v>
      </c>
      <c r="F336" s="16"/>
      <c r="G336" s="16">
        <f t="shared" si="28"/>
        <v>50955.368374743484</v>
      </c>
    </row>
    <row r="337" spans="2:7" x14ac:dyDescent="0.25">
      <c r="B337" s="10">
        <v>327</v>
      </c>
      <c r="C337" s="16">
        <f t="shared" si="25"/>
        <v>1610.4648690364172</v>
      </c>
      <c r="D337" s="16">
        <f t="shared" si="26"/>
        <v>212.31403489476452</v>
      </c>
      <c r="E337" s="16">
        <f t="shared" si="27"/>
        <v>1398.1508341416527</v>
      </c>
      <c r="F337" s="16"/>
      <c r="G337" s="16">
        <f t="shared" si="28"/>
        <v>49557.217540601829</v>
      </c>
    </row>
    <row r="338" spans="2:7" x14ac:dyDescent="0.25">
      <c r="B338" s="10">
        <v>328</v>
      </c>
      <c r="C338" s="16">
        <f t="shared" si="25"/>
        <v>1610.4648690364172</v>
      </c>
      <c r="D338" s="16">
        <f t="shared" si="26"/>
        <v>206.48840641917428</v>
      </c>
      <c r="E338" s="16">
        <f t="shared" si="27"/>
        <v>1403.976462617243</v>
      </c>
      <c r="F338" s="16"/>
      <c r="G338" s="16">
        <f t="shared" si="28"/>
        <v>48153.241077984589</v>
      </c>
    </row>
    <row r="339" spans="2:7" x14ac:dyDescent="0.25">
      <c r="B339" s="10">
        <v>329</v>
      </c>
      <c r="C339" s="16">
        <f t="shared" si="25"/>
        <v>1610.4648690364172</v>
      </c>
      <c r="D339" s="16">
        <f t="shared" si="26"/>
        <v>200.63850449160245</v>
      </c>
      <c r="E339" s="16">
        <f t="shared" si="27"/>
        <v>1409.8263645448149</v>
      </c>
      <c r="F339" s="16"/>
      <c r="G339" s="16">
        <f t="shared" si="28"/>
        <v>46743.414713439772</v>
      </c>
    </row>
    <row r="340" spans="2:7" x14ac:dyDescent="0.25">
      <c r="B340" s="10">
        <v>330</v>
      </c>
      <c r="C340" s="16">
        <f t="shared" si="25"/>
        <v>1610.4648690364172</v>
      </c>
      <c r="D340" s="16">
        <f t="shared" si="26"/>
        <v>194.76422797266571</v>
      </c>
      <c r="E340" s="16">
        <f t="shared" si="27"/>
        <v>1415.7006410637514</v>
      </c>
      <c r="F340" s="16"/>
      <c r="G340" s="16">
        <f t="shared" si="28"/>
        <v>45327.714072376024</v>
      </c>
    </row>
    <row r="341" spans="2:7" x14ac:dyDescent="0.25">
      <c r="B341" s="10">
        <v>331</v>
      </c>
      <c r="C341" s="16">
        <f t="shared" si="25"/>
        <v>1610.4648690364172</v>
      </c>
      <c r="D341" s="16">
        <f t="shared" si="26"/>
        <v>188.86547530156676</v>
      </c>
      <c r="E341" s="16">
        <f t="shared" si="27"/>
        <v>1421.5993937348505</v>
      </c>
      <c r="F341" s="16"/>
      <c r="G341" s="16">
        <f t="shared" si="28"/>
        <v>43906.11467864117</v>
      </c>
    </row>
    <row r="342" spans="2:7" x14ac:dyDescent="0.25">
      <c r="B342" s="10">
        <v>332</v>
      </c>
      <c r="C342" s="16">
        <f t="shared" si="25"/>
        <v>1610.4648690364172</v>
      </c>
      <c r="D342" s="16">
        <f t="shared" si="26"/>
        <v>182.94214449433821</v>
      </c>
      <c r="E342" s="16">
        <f t="shared" si="27"/>
        <v>1427.522724542079</v>
      </c>
      <c r="F342" s="16"/>
      <c r="G342" s="16">
        <f t="shared" si="28"/>
        <v>42478.591954099094</v>
      </c>
    </row>
    <row r="343" spans="2:7" x14ac:dyDescent="0.25">
      <c r="B343" s="10">
        <v>333</v>
      </c>
      <c r="C343" s="16">
        <f t="shared" si="25"/>
        <v>1610.4648690364172</v>
      </c>
      <c r="D343" s="16">
        <f t="shared" si="26"/>
        <v>176.99413314207956</v>
      </c>
      <c r="E343" s="16">
        <f t="shared" si="27"/>
        <v>1433.4707358943376</v>
      </c>
      <c r="F343" s="16"/>
      <c r="G343" s="16">
        <f t="shared" si="28"/>
        <v>41045.12121820476</v>
      </c>
    </row>
    <row r="344" spans="2:7" x14ac:dyDescent="0.25">
      <c r="B344" s="10">
        <v>334</v>
      </c>
      <c r="C344" s="16">
        <f t="shared" si="25"/>
        <v>1610.4648690364172</v>
      </c>
      <c r="D344" s="16">
        <f t="shared" si="26"/>
        <v>171.02133840918651</v>
      </c>
      <c r="E344" s="16">
        <f t="shared" si="27"/>
        <v>1439.4435306272308</v>
      </c>
      <c r="F344" s="16"/>
      <c r="G344" s="16">
        <f t="shared" si="28"/>
        <v>39605.677687577532</v>
      </c>
    </row>
    <row r="345" spans="2:7" x14ac:dyDescent="0.25">
      <c r="B345" s="10">
        <v>335</v>
      </c>
      <c r="C345" s="16">
        <f t="shared" si="25"/>
        <v>1610.4648690364172</v>
      </c>
      <c r="D345" s="16">
        <f t="shared" si="26"/>
        <v>165.02365703157304</v>
      </c>
      <c r="E345" s="16">
        <f t="shared" si="27"/>
        <v>1445.4412120048441</v>
      </c>
      <c r="F345" s="16"/>
      <c r="G345" s="16">
        <f t="shared" si="28"/>
        <v>38160.236475572689</v>
      </c>
    </row>
    <row r="346" spans="2:7" x14ac:dyDescent="0.25">
      <c r="B346" s="10">
        <v>336</v>
      </c>
      <c r="C346" s="16">
        <f t="shared" si="25"/>
        <v>1610.4648690364172</v>
      </c>
      <c r="D346" s="16">
        <f t="shared" si="26"/>
        <v>159.00098531488621</v>
      </c>
      <c r="E346" s="16">
        <f t="shared" si="27"/>
        <v>1451.4638837215309</v>
      </c>
      <c r="F346" s="16"/>
      <c r="G346" s="16">
        <f t="shared" si="28"/>
        <v>36708.772591851157</v>
      </c>
    </row>
    <row r="347" spans="2:7" x14ac:dyDescent="0.25">
      <c r="B347" s="10">
        <v>337</v>
      </c>
      <c r="C347" s="16">
        <f t="shared" si="25"/>
        <v>1610.4648690364172</v>
      </c>
      <c r="D347" s="16">
        <f t="shared" si="26"/>
        <v>152.95321913271314</v>
      </c>
      <c r="E347" s="16">
        <f t="shared" si="27"/>
        <v>1457.511649903704</v>
      </c>
      <c r="F347" s="16"/>
      <c r="G347" s="16">
        <f t="shared" si="28"/>
        <v>35251.260941947454</v>
      </c>
    </row>
    <row r="348" spans="2:7" x14ac:dyDescent="0.25">
      <c r="B348" s="10">
        <v>338</v>
      </c>
      <c r="C348" s="16">
        <f t="shared" si="25"/>
        <v>1610.4648690364172</v>
      </c>
      <c r="D348" s="16">
        <f t="shared" si="26"/>
        <v>146.88025392478104</v>
      </c>
      <c r="E348" s="16">
        <f t="shared" si="27"/>
        <v>1463.5846151116361</v>
      </c>
      <c r="F348" s="16"/>
      <c r="G348" s="16">
        <f t="shared" si="28"/>
        <v>33787.676326835819</v>
      </c>
    </row>
    <row r="349" spans="2:7" x14ac:dyDescent="0.25">
      <c r="B349" s="10">
        <v>339</v>
      </c>
      <c r="C349" s="16">
        <f t="shared" si="25"/>
        <v>1610.4648690364172</v>
      </c>
      <c r="D349" s="16">
        <f t="shared" si="26"/>
        <v>140.78198469514925</v>
      </c>
      <c r="E349" s="16">
        <f t="shared" si="27"/>
        <v>1469.6828843412679</v>
      </c>
      <c r="F349" s="16"/>
      <c r="G349" s="16">
        <f t="shared" si="28"/>
        <v>32317.99344249455</v>
      </c>
    </row>
    <row r="350" spans="2:7" x14ac:dyDescent="0.25">
      <c r="B350" s="10">
        <v>340</v>
      </c>
      <c r="C350" s="16">
        <f t="shared" si="25"/>
        <v>1610.4648690364172</v>
      </c>
      <c r="D350" s="16">
        <f t="shared" si="26"/>
        <v>134.65830601039394</v>
      </c>
      <c r="E350" s="16">
        <f t="shared" si="27"/>
        <v>1475.8065630260232</v>
      </c>
      <c r="F350" s="16"/>
      <c r="G350" s="16">
        <f t="shared" si="28"/>
        <v>30842.186879468525</v>
      </c>
    </row>
    <row r="351" spans="2:7" x14ac:dyDescent="0.25">
      <c r="B351" s="10">
        <v>341</v>
      </c>
      <c r="C351" s="16">
        <f t="shared" si="25"/>
        <v>1610.4648690364172</v>
      </c>
      <c r="D351" s="16">
        <f t="shared" si="26"/>
        <v>128.50911199778551</v>
      </c>
      <c r="E351" s="16">
        <f t="shared" si="27"/>
        <v>1481.9557570386316</v>
      </c>
      <c r="F351" s="16"/>
      <c r="G351" s="16">
        <f t="shared" si="28"/>
        <v>29360.231122429894</v>
      </c>
    </row>
    <row r="352" spans="2:7" x14ac:dyDescent="0.25">
      <c r="B352" s="10">
        <v>342</v>
      </c>
      <c r="C352" s="16">
        <f t="shared" si="25"/>
        <v>1610.4648690364172</v>
      </c>
      <c r="D352" s="16">
        <f t="shared" si="26"/>
        <v>122.33429634345789</v>
      </c>
      <c r="E352" s="16">
        <f t="shared" si="27"/>
        <v>1488.1305726929593</v>
      </c>
      <c r="F352" s="16"/>
      <c r="G352" s="16">
        <f t="shared" si="28"/>
        <v>27872.100549736933</v>
      </c>
    </row>
    <row r="353" spans="2:7" x14ac:dyDescent="0.25">
      <c r="B353" s="10">
        <v>343</v>
      </c>
      <c r="C353" s="16">
        <f t="shared" si="25"/>
        <v>1610.4648690364172</v>
      </c>
      <c r="D353" s="16">
        <f t="shared" si="26"/>
        <v>116.13375229057056</v>
      </c>
      <c r="E353" s="16">
        <f t="shared" si="27"/>
        <v>1494.3311167458467</v>
      </c>
      <c r="F353" s="16"/>
      <c r="G353" s="16">
        <f t="shared" si="28"/>
        <v>26377.769432991088</v>
      </c>
    </row>
    <row r="354" spans="2:7" x14ac:dyDescent="0.25">
      <c r="B354" s="10">
        <v>344</v>
      </c>
      <c r="C354" s="16">
        <f t="shared" si="25"/>
        <v>1610.4648690364172</v>
      </c>
      <c r="D354" s="16">
        <f t="shared" si="26"/>
        <v>109.90737263746287</v>
      </c>
      <c r="E354" s="16">
        <f t="shared" si="27"/>
        <v>1500.5574963989543</v>
      </c>
      <c r="F354" s="16"/>
      <c r="G354" s="16">
        <f t="shared" si="28"/>
        <v>24877.211936592135</v>
      </c>
    </row>
    <row r="355" spans="2:7" x14ac:dyDescent="0.25">
      <c r="B355" s="10">
        <v>345</v>
      </c>
      <c r="C355" s="16">
        <f t="shared" si="25"/>
        <v>1610.4648690364172</v>
      </c>
      <c r="D355" s="16">
        <f t="shared" si="26"/>
        <v>103.65504973580056</v>
      </c>
      <c r="E355" s="16">
        <f t="shared" si="27"/>
        <v>1506.8098193006167</v>
      </c>
      <c r="F355" s="16"/>
      <c r="G355" s="16">
        <f t="shared" si="28"/>
        <v>23370.40211729152</v>
      </c>
    </row>
    <row r="356" spans="2:7" x14ac:dyDescent="0.25">
      <c r="B356" s="10">
        <v>346</v>
      </c>
      <c r="C356" s="16">
        <f t="shared" si="25"/>
        <v>1610.4648690364172</v>
      </c>
      <c r="D356" s="16">
        <f t="shared" si="26"/>
        <v>97.376675488714667</v>
      </c>
      <c r="E356" s="16">
        <f t="shared" si="27"/>
        <v>1513.0881935477025</v>
      </c>
      <c r="F356" s="16"/>
      <c r="G356" s="16">
        <f t="shared" si="28"/>
        <v>21857.313923743819</v>
      </c>
    </row>
    <row r="357" spans="2:7" x14ac:dyDescent="0.25">
      <c r="B357" s="10">
        <v>347</v>
      </c>
      <c r="C357" s="16">
        <f t="shared" si="25"/>
        <v>1610.4648690364172</v>
      </c>
      <c r="D357" s="16">
        <f t="shared" si="26"/>
        <v>91.072141348932576</v>
      </c>
      <c r="E357" s="16">
        <f t="shared" si="27"/>
        <v>1519.3927276874847</v>
      </c>
      <c r="F357" s="16"/>
      <c r="G357" s="16">
        <f t="shared" si="28"/>
        <v>20337.921196056333</v>
      </c>
    </row>
    <row r="358" spans="2:7" x14ac:dyDescent="0.25">
      <c r="B358" s="10">
        <v>348</v>
      </c>
      <c r="C358" s="16">
        <f t="shared" si="25"/>
        <v>1610.4648690364172</v>
      </c>
      <c r="D358" s="16">
        <f t="shared" si="26"/>
        <v>84.741338316901391</v>
      </c>
      <c r="E358" s="16">
        <f t="shared" si="27"/>
        <v>1525.7235307195158</v>
      </c>
      <c r="F358" s="16"/>
      <c r="G358" s="16">
        <f t="shared" si="28"/>
        <v>18812.197665336818</v>
      </c>
    </row>
    <row r="359" spans="2:7" x14ac:dyDescent="0.25">
      <c r="B359" s="10">
        <v>349</v>
      </c>
      <c r="C359" s="16">
        <f t="shared" si="25"/>
        <v>1610.4648690364172</v>
      </c>
      <c r="D359" s="16">
        <f t="shared" si="26"/>
        <v>78.384156938903402</v>
      </c>
      <c r="E359" s="16">
        <f t="shared" si="27"/>
        <v>1532.0807120975137</v>
      </c>
      <c r="F359" s="16"/>
      <c r="G359" s="16">
        <f t="shared" si="28"/>
        <v>17280.116953239303</v>
      </c>
    </row>
    <row r="360" spans="2:7" x14ac:dyDescent="0.25">
      <c r="B360" s="10">
        <v>350</v>
      </c>
      <c r="C360" s="16">
        <f t="shared" si="25"/>
        <v>1610.4648690364172</v>
      </c>
      <c r="D360" s="16">
        <f t="shared" si="26"/>
        <v>72.000487305163759</v>
      </c>
      <c r="E360" s="16">
        <f t="shared" si="27"/>
        <v>1538.4643817312535</v>
      </c>
      <c r="F360" s="16"/>
      <c r="G360" s="16">
        <f t="shared" si="28"/>
        <v>15741.65257150805</v>
      </c>
    </row>
    <row r="361" spans="2:7" x14ac:dyDescent="0.25">
      <c r="B361" s="10">
        <v>351</v>
      </c>
      <c r="C361" s="16">
        <f t="shared" si="25"/>
        <v>1610.4648690364172</v>
      </c>
      <c r="D361" s="16">
        <f t="shared" si="26"/>
        <v>65.5902190479502</v>
      </c>
      <c r="E361" s="16">
        <f t="shared" si="27"/>
        <v>1544.8746499884669</v>
      </c>
      <c r="F361" s="16"/>
      <c r="G361" s="16">
        <f t="shared" si="28"/>
        <v>14196.777921519582</v>
      </c>
    </row>
    <row r="362" spans="2:7" x14ac:dyDescent="0.25">
      <c r="B362" s="10">
        <v>352</v>
      </c>
      <c r="C362" s="16">
        <f t="shared" si="25"/>
        <v>1610.4648690364172</v>
      </c>
      <c r="D362" s="16">
        <f t="shared" si="26"/>
        <v>59.153241339664923</v>
      </c>
      <c r="E362" s="16">
        <f t="shared" si="27"/>
        <v>1551.3116276967523</v>
      </c>
      <c r="F362" s="16"/>
      <c r="G362" s="16">
        <f t="shared" si="28"/>
        <v>12645.46629382283</v>
      </c>
    </row>
    <row r="363" spans="2:7" x14ac:dyDescent="0.25">
      <c r="B363" s="10">
        <v>353</v>
      </c>
      <c r="C363" s="16">
        <f t="shared" si="25"/>
        <v>1610.4648690364172</v>
      </c>
      <c r="D363" s="16">
        <f t="shared" si="26"/>
        <v>52.689442890928461</v>
      </c>
      <c r="E363" s="16">
        <f t="shared" si="27"/>
        <v>1557.7754261454888</v>
      </c>
      <c r="F363" s="16"/>
      <c r="G363" s="16">
        <f t="shared" si="28"/>
        <v>11087.690867677342</v>
      </c>
    </row>
    <row r="364" spans="2:7" x14ac:dyDescent="0.25">
      <c r="B364" s="10">
        <v>354</v>
      </c>
      <c r="C364" s="16">
        <f t="shared" si="25"/>
        <v>1610.4648690364172</v>
      </c>
      <c r="D364" s="16">
        <f t="shared" si="26"/>
        <v>46.198711948655593</v>
      </c>
      <c r="E364" s="16">
        <f t="shared" si="27"/>
        <v>1564.2661570877617</v>
      </c>
      <c r="F364" s="16"/>
      <c r="G364" s="16">
        <f t="shared" si="28"/>
        <v>9523.4247105895811</v>
      </c>
    </row>
    <row r="365" spans="2:7" x14ac:dyDescent="0.25">
      <c r="B365" s="10">
        <v>355</v>
      </c>
      <c r="C365" s="16">
        <f t="shared" si="25"/>
        <v>1610.4648690364172</v>
      </c>
      <c r="D365" s="16">
        <f t="shared" si="26"/>
        <v>39.680936294123256</v>
      </c>
      <c r="E365" s="16">
        <f t="shared" si="27"/>
        <v>1570.7839327422939</v>
      </c>
      <c r="F365" s="16"/>
      <c r="G365" s="16">
        <f t="shared" si="28"/>
        <v>7952.6407778472876</v>
      </c>
    </row>
    <row r="366" spans="2:7" x14ac:dyDescent="0.25">
      <c r="B366" s="10">
        <v>356</v>
      </c>
      <c r="C366" s="16">
        <f t="shared" si="25"/>
        <v>1610.4648690364172</v>
      </c>
      <c r="D366" s="16">
        <f t="shared" si="26"/>
        <v>33.136003241030366</v>
      </c>
      <c r="E366" s="16">
        <f t="shared" si="27"/>
        <v>1577.3288657953869</v>
      </c>
      <c r="F366" s="16"/>
      <c r="G366" s="16">
        <f t="shared" si="28"/>
        <v>6375.3119120519004</v>
      </c>
    </row>
    <row r="367" spans="2:7" x14ac:dyDescent="0.25">
      <c r="B367" s="10">
        <v>357</v>
      </c>
      <c r="C367" s="16">
        <f t="shared" si="25"/>
        <v>1610.4648690364172</v>
      </c>
      <c r="D367" s="16">
        <f t="shared" si="26"/>
        <v>26.563799633549586</v>
      </c>
      <c r="E367" s="16">
        <f t="shared" si="27"/>
        <v>1583.9010694028677</v>
      </c>
      <c r="F367" s="16"/>
      <c r="G367" s="16">
        <f t="shared" si="28"/>
        <v>4791.4108426490329</v>
      </c>
    </row>
    <row r="368" spans="2:7" x14ac:dyDescent="0.25">
      <c r="B368" s="10">
        <v>358</v>
      </c>
      <c r="C368" s="16">
        <f t="shared" si="25"/>
        <v>1610.4648690364172</v>
      </c>
      <c r="D368" s="16">
        <f t="shared" si="26"/>
        <v>19.964211844370972</v>
      </c>
      <c r="E368" s="16">
        <f t="shared" si="27"/>
        <v>1590.5006571920462</v>
      </c>
      <c r="F368" s="16"/>
      <c r="G368" s="16">
        <f t="shared" si="28"/>
        <v>3200.9101854569867</v>
      </c>
    </row>
    <row r="369" spans="2:7" x14ac:dyDescent="0.25">
      <c r="B369" s="10">
        <v>359</v>
      </c>
      <c r="C369" s="16">
        <f t="shared" si="25"/>
        <v>1610.4648690364172</v>
      </c>
      <c r="D369" s="16">
        <f t="shared" si="26"/>
        <v>13.337125772737444</v>
      </c>
      <c r="E369" s="16">
        <f t="shared" si="27"/>
        <v>1597.1277432636798</v>
      </c>
      <c r="F369" s="16"/>
      <c r="G369" s="16">
        <f t="shared" si="28"/>
        <v>1603.7824421933069</v>
      </c>
    </row>
    <row r="370" spans="2:7" x14ac:dyDescent="0.25">
      <c r="B370" s="10">
        <v>360</v>
      </c>
      <c r="C370" s="16">
        <f t="shared" si="25"/>
        <v>1610.464869035779</v>
      </c>
      <c r="D370" s="16">
        <f t="shared" si="26"/>
        <v>6.682426842472112</v>
      </c>
      <c r="E370" s="16">
        <f t="shared" si="27"/>
        <v>1603.7824421933069</v>
      </c>
      <c r="F370" s="16"/>
      <c r="G370" s="16">
        <f t="shared" si="28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525CA-AF20-4AD3-8E5B-223A5019C382}">
  <dimension ref="B2:G370"/>
  <sheetViews>
    <sheetView workbookViewId="0">
      <selection activeCell="F3" sqref="F3"/>
    </sheetView>
  </sheetViews>
  <sheetFormatPr defaultRowHeight="15" x14ac:dyDescent="0.25"/>
  <cols>
    <col min="2" max="7" width="15.7109375" customWidth="1"/>
  </cols>
  <sheetData>
    <row r="2" spans="2:7" x14ac:dyDescent="0.25">
      <c r="B2" s="20" t="s">
        <v>2</v>
      </c>
      <c r="C2" s="5">
        <v>300000</v>
      </c>
      <c r="E2" s="21" t="s">
        <v>14</v>
      </c>
      <c r="F2" s="13">
        <v>279767.34999999998</v>
      </c>
    </row>
    <row r="3" spans="2:7" x14ac:dyDescent="0.25">
      <c r="B3" s="20" t="s">
        <v>3</v>
      </c>
      <c r="C3" s="7">
        <v>0.05</v>
      </c>
      <c r="E3" s="21" t="s">
        <v>15</v>
      </c>
      <c r="F3" s="13">
        <f>SUMIF(D11:D370, "&gt;0")</f>
        <v>276334.97361217404</v>
      </c>
    </row>
    <row r="4" spans="2:7" x14ac:dyDescent="0.25">
      <c r="B4" s="20" t="s">
        <v>4</v>
      </c>
      <c r="C4" s="6">
        <f>C3/12</f>
        <v>4.1666666666666666E-3</v>
      </c>
      <c r="E4" s="21" t="s">
        <v>16</v>
      </c>
      <c r="F4" s="13">
        <f>F2-F3</f>
        <v>3432.3763878259342</v>
      </c>
    </row>
    <row r="5" spans="2:7" x14ac:dyDescent="0.25">
      <c r="B5" s="20" t="s">
        <v>5</v>
      </c>
      <c r="C5" s="4">
        <v>30</v>
      </c>
      <c r="E5" s="21" t="s">
        <v>20</v>
      </c>
      <c r="F5" s="17">
        <f>COUNTIF(C11:C370,"&gt;0")</f>
        <v>358</v>
      </c>
    </row>
    <row r="6" spans="2:7" x14ac:dyDescent="0.25">
      <c r="B6" s="20" t="s">
        <v>6</v>
      </c>
      <c r="C6" s="3">
        <f>C5*12</f>
        <v>360</v>
      </c>
    </row>
    <row r="7" spans="2:7" x14ac:dyDescent="0.25">
      <c r="B7" s="20" t="s">
        <v>7</v>
      </c>
      <c r="C7" s="8">
        <f>-PMT(C4,C6,C2)</f>
        <v>1610.4648690364172</v>
      </c>
    </row>
    <row r="9" spans="2:7" x14ac:dyDescent="0.25">
      <c r="B9" s="22" t="s">
        <v>8</v>
      </c>
      <c r="C9" s="22" t="s">
        <v>9</v>
      </c>
      <c r="D9" s="22" t="s">
        <v>10</v>
      </c>
      <c r="E9" s="22" t="s">
        <v>11</v>
      </c>
      <c r="F9" s="22" t="s">
        <v>12</v>
      </c>
      <c r="G9" s="22" t="s">
        <v>13</v>
      </c>
    </row>
    <row r="10" spans="2:7" x14ac:dyDescent="0.25">
      <c r="B10" s="10">
        <v>0</v>
      </c>
      <c r="C10" s="16"/>
      <c r="D10" s="16"/>
      <c r="E10" s="16"/>
      <c r="F10" s="16"/>
      <c r="G10" s="16">
        <f>C2</f>
        <v>300000</v>
      </c>
    </row>
    <row r="11" spans="2:7" x14ac:dyDescent="0.25">
      <c r="B11" s="10">
        <v>1</v>
      </c>
      <c r="C11" s="16">
        <f>$C$7</f>
        <v>1610.4648690364172</v>
      </c>
      <c r="D11" s="16">
        <f>G10*$C$4</f>
        <v>1250</v>
      </c>
      <c r="E11" s="16">
        <f>C11-D11</f>
        <v>360.46486903641721</v>
      </c>
      <c r="F11" s="16">
        <v>1000</v>
      </c>
      <c r="G11" s="16">
        <f>G10-F11-E11</f>
        <v>298639.5351309636</v>
      </c>
    </row>
    <row r="12" spans="2:7" x14ac:dyDescent="0.25">
      <c r="B12" s="10">
        <v>2</v>
      </c>
      <c r="C12" s="16">
        <f t="shared" ref="C12:C24" si="0">$C$7</f>
        <v>1610.4648690364172</v>
      </c>
      <c r="D12" s="16">
        <f t="shared" ref="D12:D75" si="1">G11*$C$4</f>
        <v>1244.3313963790149</v>
      </c>
      <c r="E12" s="16">
        <f t="shared" ref="E12:E75" si="2">C12-D12</f>
        <v>366.13347265740231</v>
      </c>
      <c r="F12" s="16"/>
      <c r="G12" s="16">
        <f t="shared" ref="G12:G75" si="3">G11-F12-E12</f>
        <v>298273.40165830619</v>
      </c>
    </row>
    <row r="13" spans="2:7" x14ac:dyDescent="0.25">
      <c r="B13" s="10">
        <v>3</v>
      </c>
      <c r="C13" s="16">
        <f t="shared" si="0"/>
        <v>1610.4648690364172</v>
      </c>
      <c r="D13" s="16">
        <f t="shared" si="1"/>
        <v>1242.8058402429424</v>
      </c>
      <c r="E13" s="16">
        <f t="shared" si="2"/>
        <v>367.65902879347482</v>
      </c>
      <c r="F13" s="16"/>
      <c r="G13" s="16">
        <f t="shared" si="3"/>
        <v>297905.74262951274</v>
      </c>
    </row>
    <row r="14" spans="2:7" x14ac:dyDescent="0.25">
      <c r="B14" s="10">
        <v>4</v>
      </c>
      <c r="C14" s="16">
        <f t="shared" si="0"/>
        <v>1610.4648690364172</v>
      </c>
      <c r="D14" s="16">
        <f t="shared" si="1"/>
        <v>1241.2739276229697</v>
      </c>
      <c r="E14" s="16">
        <f t="shared" si="2"/>
        <v>369.19094141344749</v>
      </c>
      <c r="F14" s="16"/>
      <c r="G14" s="16">
        <f t="shared" si="3"/>
        <v>297536.55168809928</v>
      </c>
    </row>
    <row r="15" spans="2:7" x14ac:dyDescent="0.25">
      <c r="B15" s="10">
        <v>5</v>
      </c>
      <c r="C15" s="16">
        <f t="shared" si="0"/>
        <v>1610.4648690364172</v>
      </c>
      <c r="D15" s="16">
        <f t="shared" si="1"/>
        <v>1239.7356320337469</v>
      </c>
      <c r="E15" s="16">
        <f t="shared" si="2"/>
        <v>370.72923700267029</v>
      </c>
      <c r="F15" s="16"/>
      <c r="G15" s="16">
        <f t="shared" si="3"/>
        <v>297165.82245109661</v>
      </c>
    </row>
    <row r="16" spans="2:7" x14ac:dyDescent="0.25">
      <c r="B16" s="10">
        <v>6</v>
      </c>
      <c r="C16" s="16">
        <f t="shared" si="0"/>
        <v>1610.4648690364172</v>
      </c>
      <c r="D16" s="16">
        <f t="shared" si="1"/>
        <v>1238.1909268795691</v>
      </c>
      <c r="E16" s="16">
        <f t="shared" si="2"/>
        <v>372.27394215684808</v>
      </c>
      <c r="F16" s="16"/>
      <c r="G16" s="16">
        <f t="shared" si="3"/>
        <v>296793.54850893974</v>
      </c>
    </row>
    <row r="17" spans="2:7" x14ac:dyDescent="0.25">
      <c r="B17" s="10">
        <v>7</v>
      </c>
      <c r="C17" s="16">
        <f t="shared" si="0"/>
        <v>1610.4648690364172</v>
      </c>
      <c r="D17" s="16">
        <f t="shared" si="1"/>
        <v>1236.6397854539155</v>
      </c>
      <c r="E17" s="16">
        <f t="shared" si="2"/>
        <v>373.82508358250175</v>
      </c>
      <c r="F17" s="16"/>
      <c r="G17" s="16">
        <f t="shared" si="3"/>
        <v>296419.72342535725</v>
      </c>
    </row>
    <row r="18" spans="2:7" x14ac:dyDescent="0.25">
      <c r="B18" s="10">
        <v>8</v>
      </c>
      <c r="C18" s="16">
        <f t="shared" si="0"/>
        <v>1610.4648690364172</v>
      </c>
      <c r="D18" s="16">
        <f t="shared" si="1"/>
        <v>1235.0821809389886</v>
      </c>
      <c r="E18" s="16">
        <f t="shared" si="2"/>
        <v>375.38268809742863</v>
      </c>
      <c r="F18" s="16"/>
      <c r="G18" s="16">
        <f t="shared" si="3"/>
        <v>296044.34073725983</v>
      </c>
    </row>
    <row r="19" spans="2:7" x14ac:dyDescent="0.25">
      <c r="B19" s="10">
        <v>9</v>
      </c>
      <c r="C19" s="16">
        <f t="shared" si="0"/>
        <v>1610.4648690364172</v>
      </c>
      <c r="D19" s="16">
        <f t="shared" si="1"/>
        <v>1233.5180864052493</v>
      </c>
      <c r="E19" s="16">
        <f t="shared" si="2"/>
        <v>376.94678263116793</v>
      </c>
      <c r="F19" s="16"/>
      <c r="G19" s="16">
        <f t="shared" si="3"/>
        <v>295667.39395462867</v>
      </c>
    </row>
    <row r="20" spans="2:7" x14ac:dyDescent="0.25">
      <c r="B20" s="10">
        <v>10</v>
      </c>
      <c r="C20" s="16">
        <f t="shared" si="0"/>
        <v>1610.4648690364172</v>
      </c>
      <c r="D20" s="16">
        <f t="shared" si="1"/>
        <v>1231.9474748109528</v>
      </c>
      <c r="E20" s="16">
        <f t="shared" si="2"/>
        <v>378.51739422546439</v>
      </c>
      <c r="F20" s="16"/>
      <c r="G20" s="16">
        <f t="shared" si="3"/>
        <v>295288.87656040321</v>
      </c>
    </row>
    <row r="21" spans="2:7" x14ac:dyDescent="0.25">
      <c r="B21" s="10">
        <v>11</v>
      </c>
      <c r="C21" s="16">
        <f t="shared" si="0"/>
        <v>1610.4648690364172</v>
      </c>
      <c r="D21" s="16">
        <f t="shared" si="1"/>
        <v>1230.3703190016799</v>
      </c>
      <c r="E21" s="16">
        <f t="shared" si="2"/>
        <v>380.09455003473727</v>
      </c>
      <c r="F21" s="16"/>
      <c r="G21" s="16">
        <f t="shared" si="3"/>
        <v>294908.78201036848</v>
      </c>
    </row>
    <row r="22" spans="2:7" x14ac:dyDescent="0.25">
      <c r="B22" s="10">
        <v>12</v>
      </c>
      <c r="C22" s="16">
        <f t="shared" si="0"/>
        <v>1610.4648690364172</v>
      </c>
      <c r="D22" s="16">
        <f t="shared" si="1"/>
        <v>1228.7865917098686</v>
      </c>
      <c r="E22" s="16">
        <f t="shared" si="2"/>
        <v>381.6782773265486</v>
      </c>
      <c r="F22" s="16"/>
      <c r="G22" s="16">
        <f t="shared" si="3"/>
        <v>294527.10373304191</v>
      </c>
    </row>
    <row r="23" spans="2:7" x14ac:dyDescent="0.25">
      <c r="B23" s="10">
        <v>13</v>
      </c>
      <c r="C23" s="16">
        <f t="shared" si="0"/>
        <v>1610.4648690364172</v>
      </c>
      <c r="D23" s="16">
        <f t="shared" si="1"/>
        <v>1227.1962655543412</v>
      </c>
      <c r="E23" s="16">
        <f t="shared" si="2"/>
        <v>383.26860348207606</v>
      </c>
      <c r="F23" s="16"/>
      <c r="G23" s="16">
        <f t="shared" si="3"/>
        <v>294143.83512955985</v>
      </c>
    </row>
    <row r="24" spans="2:7" x14ac:dyDescent="0.25">
      <c r="B24" s="10">
        <v>14</v>
      </c>
      <c r="C24" s="16">
        <f t="shared" si="0"/>
        <v>1610.4648690364172</v>
      </c>
      <c r="D24" s="16">
        <f t="shared" si="1"/>
        <v>1225.5993130398326</v>
      </c>
      <c r="E24" s="16">
        <f t="shared" si="2"/>
        <v>384.86555599658459</v>
      </c>
      <c r="F24" s="16"/>
      <c r="G24" s="16">
        <f t="shared" si="3"/>
        <v>293758.96957356326</v>
      </c>
    </row>
    <row r="25" spans="2:7" x14ac:dyDescent="0.25">
      <c r="B25" s="10">
        <v>15</v>
      </c>
      <c r="C25" s="16">
        <f>IF(G24&lt;$C$7,G24*(1+$C$4),$C$7)</f>
        <v>1610.4648690364172</v>
      </c>
      <c r="D25" s="16">
        <f t="shared" si="1"/>
        <v>1223.9957065565136</v>
      </c>
      <c r="E25" s="16">
        <f t="shared" si="2"/>
        <v>386.46916247990362</v>
      </c>
      <c r="F25" s="16"/>
      <c r="G25" s="16">
        <f t="shared" si="3"/>
        <v>293372.50041108334</v>
      </c>
    </row>
    <row r="26" spans="2:7" x14ac:dyDescent="0.25">
      <c r="B26" s="10">
        <v>16</v>
      </c>
      <c r="C26" s="16">
        <f t="shared" ref="C26:C89" si="4">IF(G25&lt;$C$7,G25*(1+$C$4),$C$7)</f>
        <v>1610.4648690364172</v>
      </c>
      <c r="D26" s="16">
        <f t="shared" si="1"/>
        <v>1222.3854183795138</v>
      </c>
      <c r="E26" s="16">
        <f t="shared" si="2"/>
        <v>388.07945065690342</v>
      </c>
      <c r="F26" s="16"/>
      <c r="G26" s="16">
        <f t="shared" si="3"/>
        <v>292984.42096042645</v>
      </c>
    </row>
    <row r="27" spans="2:7" x14ac:dyDescent="0.25">
      <c r="B27" s="10">
        <v>17</v>
      </c>
      <c r="C27" s="16">
        <f t="shared" si="4"/>
        <v>1610.4648690364172</v>
      </c>
      <c r="D27" s="16">
        <f t="shared" si="1"/>
        <v>1220.7684206684435</v>
      </c>
      <c r="E27" s="16">
        <f t="shared" si="2"/>
        <v>389.69644836797374</v>
      </c>
      <c r="F27" s="16"/>
      <c r="G27" s="16">
        <f t="shared" si="3"/>
        <v>292594.72451205848</v>
      </c>
    </row>
    <row r="28" spans="2:7" x14ac:dyDescent="0.25">
      <c r="B28" s="10">
        <v>18</v>
      </c>
      <c r="C28" s="16">
        <f t="shared" si="4"/>
        <v>1610.4648690364172</v>
      </c>
      <c r="D28" s="16">
        <f t="shared" si="1"/>
        <v>1219.1446854669102</v>
      </c>
      <c r="E28" s="16">
        <f t="shared" si="2"/>
        <v>391.32018356950698</v>
      </c>
      <c r="F28" s="16"/>
      <c r="G28" s="16">
        <f t="shared" si="3"/>
        <v>292203.40432848898</v>
      </c>
    </row>
    <row r="29" spans="2:7" x14ac:dyDescent="0.25">
      <c r="B29" s="10">
        <v>19</v>
      </c>
      <c r="C29" s="16">
        <f t="shared" si="4"/>
        <v>1610.4648690364172</v>
      </c>
      <c r="D29" s="16">
        <f t="shared" si="1"/>
        <v>1217.5141847020375</v>
      </c>
      <c r="E29" s="16">
        <f t="shared" si="2"/>
        <v>392.95068433437973</v>
      </c>
      <c r="F29" s="16"/>
      <c r="G29" s="16">
        <f t="shared" si="3"/>
        <v>291810.45364415459</v>
      </c>
    </row>
    <row r="30" spans="2:7" x14ac:dyDescent="0.25">
      <c r="B30" s="10">
        <v>20</v>
      </c>
      <c r="C30" s="16">
        <f t="shared" si="4"/>
        <v>1610.4648690364172</v>
      </c>
      <c r="D30" s="16">
        <f t="shared" si="1"/>
        <v>1215.8768901839774</v>
      </c>
      <c r="E30" s="16">
        <f t="shared" si="2"/>
        <v>394.58797885243985</v>
      </c>
      <c r="F30" s="16"/>
      <c r="G30" s="16">
        <f t="shared" si="3"/>
        <v>291415.86566530215</v>
      </c>
    </row>
    <row r="31" spans="2:7" x14ac:dyDescent="0.25">
      <c r="B31" s="10">
        <v>21</v>
      </c>
      <c r="C31" s="16">
        <f t="shared" si="4"/>
        <v>1610.4648690364172</v>
      </c>
      <c r="D31" s="16">
        <f t="shared" si="1"/>
        <v>1214.2327736054256</v>
      </c>
      <c r="E31" s="16">
        <f t="shared" si="2"/>
        <v>396.23209543099165</v>
      </c>
      <c r="F31" s="16"/>
      <c r="G31" s="16">
        <f t="shared" si="3"/>
        <v>291019.63356987113</v>
      </c>
    </row>
    <row r="32" spans="2:7" x14ac:dyDescent="0.25">
      <c r="B32" s="10">
        <v>22</v>
      </c>
      <c r="C32" s="16">
        <f t="shared" si="4"/>
        <v>1610.4648690364172</v>
      </c>
      <c r="D32" s="16">
        <f t="shared" si="1"/>
        <v>1212.5818065411297</v>
      </c>
      <c r="E32" s="16">
        <f t="shared" si="2"/>
        <v>397.8830624952875</v>
      </c>
      <c r="F32" s="16"/>
      <c r="G32" s="16">
        <f t="shared" si="3"/>
        <v>290621.75050737587</v>
      </c>
    </row>
    <row r="33" spans="2:7" x14ac:dyDescent="0.25">
      <c r="B33" s="10">
        <v>23</v>
      </c>
      <c r="C33" s="16">
        <f t="shared" si="4"/>
        <v>1610.4648690364172</v>
      </c>
      <c r="D33" s="16">
        <f t="shared" si="1"/>
        <v>1210.9239604473994</v>
      </c>
      <c r="E33" s="16">
        <f t="shared" si="2"/>
        <v>399.54090858901782</v>
      </c>
      <c r="F33" s="16"/>
      <c r="G33" s="16">
        <f t="shared" si="3"/>
        <v>290222.20959878684</v>
      </c>
    </row>
    <row r="34" spans="2:7" x14ac:dyDescent="0.25">
      <c r="B34" s="10">
        <v>24</v>
      </c>
      <c r="C34" s="16">
        <f t="shared" si="4"/>
        <v>1610.4648690364172</v>
      </c>
      <c r="D34" s="16">
        <f t="shared" si="1"/>
        <v>1209.2592066616119</v>
      </c>
      <c r="E34" s="16">
        <f t="shared" si="2"/>
        <v>401.20566237480534</v>
      </c>
      <c r="F34" s="16"/>
      <c r="G34" s="16">
        <f t="shared" si="3"/>
        <v>289821.00393641205</v>
      </c>
    </row>
    <row r="35" spans="2:7" x14ac:dyDescent="0.25">
      <c r="B35" s="10">
        <v>25</v>
      </c>
      <c r="C35" s="16">
        <f t="shared" si="4"/>
        <v>1610.4648690364172</v>
      </c>
      <c r="D35" s="16">
        <f t="shared" si="1"/>
        <v>1207.5875164017168</v>
      </c>
      <c r="E35" s="16">
        <f t="shared" si="2"/>
        <v>402.8773526347004</v>
      </c>
      <c r="F35" s="16"/>
      <c r="G35" s="16">
        <f t="shared" si="3"/>
        <v>289418.12658377737</v>
      </c>
    </row>
    <row r="36" spans="2:7" x14ac:dyDescent="0.25">
      <c r="B36" s="10">
        <v>26</v>
      </c>
      <c r="C36" s="16">
        <f t="shared" si="4"/>
        <v>1610.4648690364172</v>
      </c>
      <c r="D36" s="16">
        <f t="shared" si="1"/>
        <v>1205.9088607657391</v>
      </c>
      <c r="E36" s="16">
        <f t="shared" si="2"/>
        <v>404.55600827067815</v>
      </c>
      <c r="F36" s="16"/>
      <c r="G36" s="16">
        <f t="shared" si="3"/>
        <v>289013.57057550672</v>
      </c>
    </row>
    <row r="37" spans="2:7" x14ac:dyDescent="0.25">
      <c r="B37" s="10">
        <v>27</v>
      </c>
      <c r="C37" s="16">
        <f t="shared" si="4"/>
        <v>1610.4648690364172</v>
      </c>
      <c r="D37" s="16">
        <f t="shared" si="1"/>
        <v>1204.223210731278</v>
      </c>
      <c r="E37" s="16">
        <f t="shared" si="2"/>
        <v>406.24165830513925</v>
      </c>
      <c r="F37" s="16"/>
      <c r="G37" s="16">
        <f t="shared" si="3"/>
        <v>288607.32891720155</v>
      </c>
    </row>
    <row r="38" spans="2:7" x14ac:dyDescent="0.25">
      <c r="B38" s="10">
        <v>28</v>
      </c>
      <c r="C38" s="16">
        <f t="shared" si="4"/>
        <v>1610.4648690364172</v>
      </c>
      <c r="D38" s="16">
        <f t="shared" si="1"/>
        <v>1202.5305371550064</v>
      </c>
      <c r="E38" s="16">
        <f t="shared" si="2"/>
        <v>407.9343318814108</v>
      </c>
      <c r="F38" s="16"/>
      <c r="G38" s="16">
        <f t="shared" si="3"/>
        <v>288199.39458532014</v>
      </c>
    </row>
    <row r="39" spans="2:7" x14ac:dyDescent="0.25">
      <c r="B39" s="10">
        <v>29</v>
      </c>
      <c r="C39" s="16">
        <f t="shared" si="4"/>
        <v>1610.4648690364172</v>
      </c>
      <c r="D39" s="16">
        <f t="shared" si="1"/>
        <v>1200.8308107721673</v>
      </c>
      <c r="E39" s="16">
        <f t="shared" si="2"/>
        <v>409.63405826424992</v>
      </c>
      <c r="F39" s="16"/>
      <c r="G39" s="16">
        <f t="shared" si="3"/>
        <v>287789.76052705589</v>
      </c>
    </row>
    <row r="40" spans="2:7" x14ac:dyDescent="0.25">
      <c r="B40" s="10">
        <v>30</v>
      </c>
      <c r="C40" s="16">
        <f t="shared" si="4"/>
        <v>1610.4648690364172</v>
      </c>
      <c r="D40" s="16">
        <f t="shared" si="1"/>
        <v>1199.1240021960662</v>
      </c>
      <c r="E40" s="16">
        <f t="shared" si="2"/>
        <v>411.34086684035105</v>
      </c>
      <c r="F40" s="16"/>
      <c r="G40" s="16">
        <f t="shared" si="3"/>
        <v>287378.41966021556</v>
      </c>
    </row>
    <row r="41" spans="2:7" x14ac:dyDescent="0.25">
      <c r="B41" s="10">
        <v>31</v>
      </c>
      <c r="C41" s="16">
        <f t="shared" si="4"/>
        <v>1610.4648690364172</v>
      </c>
      <c r="D41" s="16">
        <f t="shared" si="1"/>
        <v>1197.4100819175649</v>
      </c>
      <c r="E41" s="16">
        <f t="shared" si="2"/>
        <v>413.05478711885235</v>
      </c>
      <c r="F41" s="16"/>
      <c r="G41" s="16">
        <f t="shared" si="3"/>
        <v>286965.3648730967</v>
      </c>
    </row>
    <row r="42" spans="2:7" x14ac:dyDescent="0.25">
      <c r="B42" s="10">
        <v>32</v>
      </c>
      <c r="C42" s="16">
        <f t="shared" si="4"/>
        <v>1610.4648690364172</v>
      </c>
      <c r="D42" s="16">
        <f t="shared" si="1"/>
        <v>1195.6890203045696</v>
      </c>
      <c r="E42" s="16">
        <f t="shared" si="2"/>
        <v>414.77584873184765</v>
      </c>
      <c r="F42" s="16"/>
      <c r="G42" s="16">
        <f t="shared" si="3"/>
        <v>286550.58902436483</v>
      </c>
    </row>
    <row r="43" spans="2:7" x14ac:dyDescent="0.25">
      <c r="B43" s="10">
        <v>33</v>
      </c>
      <c r="C43" s="16">
        <f t="shared" si="4"/>
        <v>1610.4648690364172</v>
      </c>
      <c r="D43" s="16">
        <f t="shared" si="1"/>
        <v>1193.9607876015202</v>
      </c>
      <c r="E43" s="16">
        <f t="shared" si="2"/>
        <v>416.50408143489699</v>
      </c>
      <c r="F43" s="16"/>
      <c r="G43" s="16">
        <f t="shared" si="3"/>
        <v>286134.08494292991</v>
      </c>
    </row>
    <row r="44" spans="2:7" x14ac:dyDescent="0.25">
      <c r="B44" s="10">
        <v>34</v>
      </c>
      <c r="C44" s="16">
        <f t="shared" si="4"/>
        <v>1610.4648690364172</v>
      </c>
      <c r="D44" s="16">
        <f t="shared" si="1"/>
        <v>1192.2253539288747</v>
      </c>
      <c r="E44" s="16">
        <f t="shared" si="2"/>
        <v>418.2395151075425</v>
      </c>
      <c r="F44" s="16"/>
      <c r="G44" s="16">
        <f t="shared" si="3"/>
        <v>285715.84542782238</v>
      </c>
    </row>
    <row r="45" spans="2:7" x14ac:dyDescent="0.25">
      <c r="B45" s="10">
        <v>35</v>
      </c>
      <c r="C45" s="16">
        <f t="shared" si="4"/>
        <v>1610.4648690364172</v>
      </c>
      <c r="D45" s="16">
        <f t="shared" si="1"/>
        <v>1190.4826892825931</v>
      </c>
      <c r="E45" s="16">
        <f t="shared" si="2"/>
        <v>419.98217975382408</v>
      </c>
      <c r="F45" s="16"/>
      <c r="G45" s="16">
        <f t="shared" si="3"/>
        <v>285295.86324806855</v>
      </c>
    </row>
    <row r="46" spans="2:7" x14ac:dyDescent="0.25">
      <c r="B46" s="10">
        <v>36</v>
      </c>
      <c r="C46" s="16">
        <f t="shared" si="4"/>
        <v>1610.4648690364172</v>
      </c>
      <c r="D46" s="16">
        <f t="shared" si="1"/>
        <v>1188.7327635336189</v>
      </c>
      <c r="E46" s="16">
        <f t="shared" si="2"/>
        <v>421.73210550279828</v>
      </c>
      <c r="F46" s="16"/>
      <c r="G46" s="16">
        <f t="shared" si="3"/>
        <v>284874.13114256575</v>
      </c>
    </row>
    <row r="47" spans="2:7" x14ac:dyDescent="0.25">
      <c r="B47" s="10">
        <v>37</v>
      </c>
      <c r="C47" s="16">
        <f t="shared" si="4"/>
        <v>1610.4648690364172</v>
      </c>
      <c r="D47" s="16">
        <f t="shared" si="1"/>
        <v>1186.9755464273574</v>
      </c>
      <c r="E47" s="16">
        <f t="shared" si="2"/>
        <v>423.48932260905985</v>
      </c>
      <c r="F47" s="16"/>
      <c r="G47" s="16">
        <f t="shared" si="3"/>
        <v>284450.64181995671</v>
      </c>
    </row>
    <row r="48" spans="2:7" x14ac:dyDescent="0.25">
      <c r="B48" s="10">
        <v>38</v>
      </c>
      <c r="C48" s="16">
        <f t="shared" si="4"/>
        <v>1610.4648690364172</v>
      </c>
      <c r="D48" s="16">
        <f t="shared" si="1"/>
        <v>1185.2110075831529</v>
      </c>
      <c r="E48" s="16">
        <f t="shared" si="2"/>
        <v>425.25386145326434</v>
      </c>
      <c r="F48" s="16"/>
      <c r="G48" s="16">
        <f t="shared" si="3"/>
        <v>284025.38795850344</v>
      </c>
    </row>
    <row r="49" spans="2:7" x14ac:dyDescent="0.25">
      <c r="B49" s="10">
        <v>39</v>
      </c>
      <c r="C49" s="16">
        <f t="shared" si="4"/>
        <v>1610.4648690364172</v>
      </c>
      <c r="D49" s="16">
        <f t="shared" si="1"/>
        <v>1183.4391164937642</v>
      </c>
      <c r="E49" s="16">
        <f t="shared" si="2"/>
        <v>427.02575254265298</v>
      </c>
      <c r="F49" s="16"/>
      <c r="G49" s="16">
        <f t="shared" si="3"/>
        <v>283598.36220596079</v>
      </c>
    </row>
    <row r="50" spans="2:7" x14ac:dyDescent="0.25">
      <c r="B50" s="10">
        <v>40</v>
      </c>
      <c r="C50" s="16">
        <f t="shared" si="4"/>
        <v>1610.4648690364172</v>
      </c>
      <c r="D50" s="16">
        <f t="shared" si="1"/>
        <v>1181.6598425248367</v>
      </c>
      <c r="E50" s="16">
        <f t="shared" si="2"/>
        <v>428.80502651158054</v>
      </c>
      <c r="F50" s="16"/>
      <c r="G50" s="16">
        <f t="shared" si="3"/>
        <v>283169.55717944918</v>
      </c>
    </row>
    <row r="51" spans="2:7" x14ac:dyDescent="0.25">
      <c r="B51" s="10">
        <v>41</v>
      </c>
      <c r="C51" s="16">
        <f t="shared" si="4"/>
        <v>1610.4648690364172</v>
      </c>
      <c r="D51" s="16">
        <f t="shared" si="1"/>
        <v>1179.8731549143715</v>
      </c>
      <c r="E51" s="16">
        <f t="shared" si="2"/>
        <v>430.59171412204569</v>
      </c>
      <c r="F51" s="16"/>
      <c r="G51" s="16">
        <f t="shared" si="3"/>
        <v>282738.96546532714</v>
      </c>
    </row>
    <row r="52" spans="2:7" x14ac:dyDescent="0.25">
      <c r="B52" s="10">
        <v>42</v>
      </c>
      <c r="C52" s="16">
        <f t="shared" si="4"/>
        <v>1610.4648690364172</v>
      </c>
      <c r="D52" s="16">
        <f t="shared" si="1"/>
        <v>1178.0790227721964</v>
      </c>
      <c r="E52" s="16">
        <f t="shared" si="2"/>
        <v>432.38584626422085</v>
      </c>
      <c r="F52" s="16"/>
      <c r="G52" s="16">
        <f t="shared" si="3"/>
        <v>282306.57961906295</v>
      </c>
    </row>
    <row r="53" spans="2:7" x14ac:dyDescent="0.25">
      <c r="B53" s="10">
        <v>43</v>
      </c>
      <c r="C53" s="16">
        <f t="shared" si="4"/>
        <v>1610.4648690364172</v>
      </c>
      <c r="D53" s="16">
        <f t="shared" si="1"/>
        <v>1176.2774150794289</v>
      </c>
      <c r="E53" s="16">
        <f t="shared" si="2"/>
        <v>434.18745395698829</v>
      </c>
      <c r="F53" s="16"/>
      <c r="G53" s="16">
        <f t="shared" si="3"/>
        <v>281872.39216510596</v>
      </c>
    </row>
    <row r="54" spans="2:7" x14ac:dyDescent="0.25">
      <c r="B54" s="10">
        <v>44</v>
      </c>
      <c r="C54" s="16">
        <f t="shared" si="4"/>
        <v>1610.4648690364172</v>
      </c>
      <c r="D54" s="16">
        <f t="shared" si="1"/>
        <v>1174.4683006879416</v>
      </c>
      <c r="E54" s="16">
        <f t="shared" si="2"/>
        <v>435.99656834847565</v>
      </c>
      <c r="F54" s="16"/>
      <c r="G54" s="16">
        <f t="shared" si="3"/>
        <v>281436.39559675747</v>
      </c>
    </row>
    <row r="55" spans="2:7" x14ac:dyDescent="0.25">
      <c r="B55" s="10">
        <v>45</v>
      </c>
      <c r="C55" s="16">
        <f t="shared" si="4"/>
        <v>1610.4648690364172</v>
      </c>
      <c r="D55" s="16">
        <f t="shared" si="1"/>
        <v>1172.6516483198227</v>
      </c>
      <c r="E55" s="16">
        <f t="shared" si="2"/>
        <v>437.81322071659451</v>
      </c>
      <c r="F55" s="16"/>
      <c r="G55" s="16">
        <f t="shared" si="3"/>
        <v>280998.58237604087</v>
      </c>
    </row>
    <row r="56" spans="2:7" x14ac:dyDescent="0.25">
      <c r="B56" s="10">
        <v>46</v>
      </c>
      <c r="C56" s="16">
        <f t="shared" si="4"/>
        <v>1610.4648690364172</v>
      </c>
      <c r="D56" s="16">
        <f t="shared" si="1"/>
        <v>1170.8274265668369</v>
      </c>
      <c r="E56" s="16">
        <f t="shared" si="2"/>
        <v>439.63744246958026</v>
      </c>
      <c r="F56" s="16"/>
      <c r="G56" s="16">
        <f t="shared" si="3"/>
        <v>280558.94493357127</v>
      </c>
    </row>
    <row r="57" spans="2:7" x14ac:dyDescent="0.25">
      <c r="B57" s="10">
        <v>47</v>
      </c>
      <c r="C57" s="16">
        <f t="shared" si="4"/>
        <v>1610.4648690364172</v>
      </c>
      <c r="D57" s="16">
        <f t="shared" si="1"/>
        <v>1168.9956038898804</v>
      </c>
      <c r="E57" s="16">
        <f t="shared" si="2"/>
        <v>441.46926514653683</v>
      </c>
      <c r="F57" s="16"/>
      <c r="G57" s="16">
        <f t="shared" si="3"/>
        <v>280117.47566842474</v>
      </c>
    </row>
    <row r="58" spans="2:7" x14ac:dyDescent="0.25">
      <c r="B58" s="10">
        <v>48</v>
      </c>
      <c r="C58" s="16">
        <f t="shared" si="4"/>
        <v>1610.4648690364172</v>
      </c>
      <c r="D58" s="16">
        <f t="shared" si="1"/>
        <v>1167.1561486184364</v>
      </c>
      <c r="E58" s="16">
        <f t="shared" si="2"/>
        <v>443.30872041798079</v>
      </c>
      <c r="F58" s="16"/>
      <c r="G58" s="16">
        <f t="shared" si="3"/>
        <v>279674.16694800678</v>
      </c>
    </row>
    <row r="59" spans="2:7" x14ac:dyDescent="0.25">
      <c r="B59" s="10">
        <v>49</v>
      </c>
      <c r="C59" s="16">
        <f t="shared" si="4"/>
        <v>1610.4648690364172</v>
      </c>
      <c r="D59" s="16">
        <f t="shared" si="1"/>
        <v>1165.3090289500283</v>
      </c>
      <c r="E59" s="16">
        <f t="shared" si="2"/>
        <v>445.15584008638893</v>
      </c>
      <c r="F59" s="16"/>
      <c r="G59" s="16">
        <f t="shared" si="3"/>
        <v>279229.01110792038</v>
      </c>
    </row>
    <row r="60" spans="2:7" x14ac:dyDescent="0.25">
      <c r="B60" s="10">
        <v>50</v>
      </c>
      <c r="C60" s="16">
        <f t="shared" si="4"/>
        <v>1610.4648690364172</v>
      </c>
      <c r="D60" s="16">
        <f t="shared" si="1"/>
        <v>1163.4542129496683</v>
      </c>
      <c r="E60" s="16">
        <f t="shared" si="2"/>
        <v>447.0106560867489</v>
      </c>
      <c r="F60" s="16"/>
      <c r="G60" s="16">
        <f t="shared" si="3"/>
        <v>278782.00045183365</v>
      </c>
    </row>
    <row r="61" spans="2:7" x14ac:dyDescent="0.25">
      <c r="B61" s="10">
        <v>51</v>
      </c>
      <c r="C61" s="16">
        <f t="shared" si="4"/>
        <v>1610.4648690364172</v>
      </c>
      <c r="D61" s="16">
        <f t="shared" si="1"/>
        <v>1161.5916685493069</v>
      </c>
      <c r="E61" s="16">
        <f t="shared" si="2"/>
        <v>448.87320048711035</v>
      </c>
      <c r="F61" s="16"/>
      <c r="G61" s="16">
        <f t="shared" si="3"/>
        <v>278333.12725134654</v>
      </c>
    </row>
    <row r="62" spans="2:7" x14ac:dyDescent="0.25">
      <c r="B62" s="10">
        <v>52</v>
      </c>
      <c r="C62" s="16">
        <f t="shared" si="4"/>
        <v>1610.4648690364172</v>
      </c>
      <c r="D62" s="16">
        <f t="shared" si="1"/>
        <v>1159.7213635472772</v>
      </c>
      <c r="E62" s="16">
        <f t="shared" si="2"/>
        <v>450.74350548914003</v>
      </c>
      <c r="F62" s="16"/>
      <c r="G62" s="16">
        <f t="shared" si="3"/>
        <v>277882.3837458574</v>
      </c>
    </row>
    <row r="63" spans="2:7" x14ac:dyDescent="0.25">
      <c r="B63" s="10">
        <v>53</v>
      </c>
      <c r="C63" s="16">
        <f t="shared" si="4"/>
        <v>1610.4648690364172</v>
      </c>
      <c r="D63" s="16">
        <f t="shared" si="1"/>
        <v>1157.8432656077391</v>
      </c>
      <c r="E63" s="16">
        <f t="shared" si="2"/>
        <v>452.6216034286781</v>
      </c>
      <c r="F63" s="16"/>
      <c r="G63" s="16">
        <f t="shared" si="3"/>
        <v>277429.76214242872</v>
      </c>
    </row>
    <row r="64" spans="2:7" x14ac:dyDescent="0.25">
      <c r="B64" s="10">
        <v>54</v>
      </c>
      <c r="C64" s="16">
        <f t="shared" si="4"/>
        <v>1610.4648690364172</v>
      </c>
      <c r="D64" s="16">
        <f t="shared" si="1"/>
        <v>1155.9573422601197</v>
      </c>
      <c r="E64" s="16">
        <f t="shared" si="2"/>
        <v>454.50752677629748</v>
      </c>
      <c r="F64" s="16"/>
      <c r="G64" s="16">
        <f t="shared" si="3"/>
        <v>276975.25461565243</v>
      </c>
    </row>
    <row r="65" spans="2:7" x14ac:dyDescent="0.25">
      <c r="B65" s="10">
        <v>55</v>
      </c>
      <c r="C65" s="16">
        <f t="shared" si="4"/>
        <v>1610.4648690364172</v>
      </c>
      <c r="D65" s="16">
        <f t="shared" si="1"/>
        <v>1154.0635608985517</v>
      </c>
      <c r="E65" s="16">
        <f t="shared" si="2"/>
        <v>456.4013081378655</v>
      </c>
      <c r="F65" s="16"/>
      <c r="G65" s="16">
        <f t="shared" si="3"/>
        <v>276518.85330751457</v>
      </c>
    </row>
    <row r="66" spans="2:7" x14ac:dyDescent="0.25">
      <c r="B66" s="10">
        <v>56</v>
      </c>
      <c r="C66" s="16">
        <f t="shared" si="4"/>
        <v>1610.4648690364172</v>
      </c>
      <c r="D66" s="16">
        <f t="shared" si="1"/>
        <v>1152.1618887813106</v>
      </c>
      <c r="E66" s="16">
        <f t="shared" si="2"/>
        <v>458.3029802551066</v>
      </c>
      <c r="F66" s="16"/>
      <c r="G66" s="16">
        <f t="shared" si="3"/>
        <v>276060.55032725947</v>
      </c>
    </row>
    <row r="67" spans="2:7" x14ac:dyDescent="0.25">
      <c r="B67" s="10">
        <v>57</v>
      </c>
      <c r="C67" s="16">
        <f t="shared" si="4"/>
        <v>1610.4648690364172</v>
      </c>
      <c r="D67" s="16">
        <f t="shared" si="1"/>
        <v>1150.2522930302478</v>
      </c>
      <c r="E67" s="16">
        <f t="shared" si="2"/>
        <v>460.21257600616946</v>
      </c>
      <c r="F67" s="16"/>
      <c r="G67" s="16">
        <f t="shared" si="3"/>
        <v>275600.33775125328</v>
      </c>
    </row>
    <row r="68" spans="2:7" x14ac:dyDescent="0.25">
      <c r="B68" s="10">
        <v>58</v>
      </c>
      <c r="C68" s="16">
        <f t="shared" si="4"/>
        <v>1610.4648690364172</v>
      </c>
      <c r="D68" s="16">
        <f t="shared" si="1"/>
        <v>1148.3347406302219</v>
      </c>
      <c r="E68" s="16">
        <f t="shared" si="2"/>
        <v>462.13012840619535</v>
      </c>
      <c r="F68" s="16"/>
      <c r="G68" s="16">
        <f t="shared" si="3"/>
        <v>275138.20762284705</v>
      </c>
    </row>
    <row r="69" spans="2:7" x14ac:dyDescent="0.25">
      <c r="B69" s="10">
        <v>59</v>
      </c>
      <c r="C69" s="16">
        <f t="shared" si="4"/>
        <v>1610.4648690364172</v>
      </c>
      <c r="D69" s="16">
        <f t="shared" si="1"/>
        <v>1146.4091984285294</v>
      </c>
      <c r="E69" s="16">
        <f t="shared" si="2"/>
        <v>464.05567060788781</v>
      </c>
      <c r="F69" s="16"/>
      <c r="G69" s="16">
        <f t="shared" si="3"/>
        <v>274674.15195223916</v>
      </c>
    </row>
    <row r="70" spans="2:7" x14ac:dyDescent="0.25">
      <c r="B70" s="10">
        <v>60</v>
      </c>
      <c r="C70" s="16">
        <f t="shared" si="4"/>
        <v>1610.4648690364172</v>
      </c>
      <c r="D70" s="16">
        <f t="shared" si="1"/>
        <v>1144.4756331343299</v>
      </c>
      <c r="E70" s="16">
        <f t="shared" si="2"/>
        <v>465.98923590208733</v>
      </c>
      <c r="F70" s="16"/>
      <c r="G70" s="16">
        <f t="shared" si="3"/>
        <v>274208.16271633707</v>
      </c>
    </row>
    <row r="71" spans="2:7" x14ac:dyDescent="0.25">
      <c r="B71" s="10">
        <v>61</v>
      </c>
      <c r="C71" s="16">
        <f t="shared" si="4"/>
        <v>1610.4648690364172</v>
      </c>
      <c r="D71" s="16">
        <f t="shared" si="1"/>
        <v>1142.5340113180712</v>
      </c>
      <c r="E71" s="16">
        <f t="shared" si="2"/>
        <v>467.93085771834603</v>
      </c>
      <c r="F71" s="16"/>
      <c r="G71" s="16">
        <f t="shared" si="3"/>
        <v>273740.23185861873</v>
      </c>
    </row>
    <row r="72" spans="2:7" x14ac:dyDescent="0.25">
      <c r="B72" s="10">
        <v>62</v>
      </c>
      <c r="C72" s="16">
        <f t="shared" si="4"/>
        <v>1610.4648690364172</v>
      </c>
      <c r="D72" s="16">
        <f t="shared" si="1"/>
        <v>1140.5842994109114</v>
      </c>
      <c r="E72" s="16">
        <f t="shared" si="2"/>
        <v>469.88056962550581</v>
      </c>
      <c r="F72" s="16"/>
      <c r="G72" s="16">
        <f t="shared" si="3"/>
        <v>273270.3512889932</v>
      </c>
    </row>
    <row r="73" spans="2:7" x14ac:dyDescent="0.25">
      <c r="B73" s="10">
        <v>63</v>
      </c>
      <c r="C73" s="16">
        <f t="shared" si="4"/>
        <v>1610.4648690364172</v>
      </c>
      <c r="D73" s="16">
        <f t="shared" si="1"/>
        <v>1138.6264637041384</v>
      </c>
      <c r="E73" s="16">
        <f t="shared" si="2"/>
        <v>471.83840533227885</v>
      </c>
      <c r="F73" s="16"/>
      <c r="G73" s="16">
        <f t="shared" si="3"/>
        <v>272798.51288366091</v>
      </c>
    </row>
    <row r="74" spans="2:7" x14ac:dyDescent="0.25">
      <c r="B74" s="10">
        <v>64</v>
      </c>
      <c r="C74" s="16">
        <f t="shared" si="4"/>
        <v>1610.4648690364172</v>
      </c>
      <c r="D74" s="16">
        <f t="shared" si="1"/>
        <v>1136.6604703485871</v>
      </c>
      <c r="E74" s="16">
        <f t="shared" si="2"/>
        <v>473.80439868783014</v>
      </c>
      <c r="F74" s="16"/>
      <c r="G74" s="16">
        <f t="shared" si="3"/>
        <v>272324.70848497306</v>
      </c>
    </row>
    <row r="75" spans="2:7" x14ac:dyDescent="0.25">
      <c r="B75" s="10">
        <v>65</v>
      </c>
      <c r="C75" s="16">
        <f t="shared" si="4"/>
        <v>1610.4648690364172</v>
      </c>
      <c r="D75" s="16">
        <f t="shared" si="1"/>
        <v>1134.6862853540545</v>
      </c>
      <c r="E75" s="16">
        <f t="shared" si="2"/>
        <v>475.77858368236275</v>
      </c>
      <c r="F75" s="16"/>
      <c r="G75" s="16">
        <f t="shared" si="3"/>
        <v>271848.92990129068</v>
      </c>
    </row>
    <row r="76" spans="2:7" x14ac:dyDescent="0.25">
      <c r="B76" s="10">
        <v>66</v>
      </c>
      <c r="C76" s="16">
        <f t="shared" si="4"/>
        <v>1610.4648690364172</v>
      </c>
      <c r="D76" s="16">
        <f t="shared" ref="D76:D139" si="5">G75*$C$4</f>
        <v>1132.7038745887112</v>
      </c>
      <c r="E76" s="16">
        <f t="shared" ref="E76:E139" si="6">C76-D76</f>
        <v>477.76099444770603</v>
      </c>
      <c r="F76" s="16"/>
      <c r="G76" s="16">
        <f t="shared" ref="G76:G139" si="7">G75-F76-E76</f>
        <v>271371.168906843</v>
      </c>
    </row>
    <row r="77" spans="2:7" x14ac:dyDescent="0.25">
      <c r="B77" s="10">
        <v>67</v>
      </c>
      <c r="C77" s="16">
        <f t="shared" si="4"/>
        <v>1610.4648690364172</v>
      </c>
      <c r="D77" s="16">
        <f t="shared" si="5"/>
        <v>1130.7132037785125</v>
      </c>
      <c r="E77" s="16">
        <f t="shared" si="6"/>
        <v>479.75166525790473</v>
      </c>
      <c r="F77" s="16"/>
      <c r="G77" s="16">
        <f t="shared" si="7"/>
        <v>270891.41724158509</v>
      </c>
    </row>
    <row r="78" spans="2:7" x14ac:dyDescent="0.25">
      <c r="B78" s="10">
        <v>68</v>
      </c>
      <c r="C78" s="16">
        <f t="shared" si="4"/>
        <v>1610.4648690364172</v>
      </c>
      <c r="D78" s="16">
        <f t="shared" si="5"/>
        <v>1128.7142385066045</v>
      </c>
      <c r="E78" s="16">
        <f t="shared" si="6"/>
        <v>481.75063052981272</v>
      </c>
      <c r="F78" s="16"/>
      <c r="G78" s="16">
        <f t="shared" si="7"/>
        <v>270409.66661105526</v>
      </c>
    </row>
    <row r="79" spans="2:7" x14ac:dyDescent="0.25">
      <c r="B79" s="10">
        <v>69</v>
      </c>
      <c r="C79" s="16">
        <f t="shared" si="4"/>
        <v>1610.4648690364172</v>
      </c>
      <c r="D79" s="16">
        <f t="shared" si="5"/>
        <v>1126.7069442127301</v>
      </c>
      <c r="E79" s="16">
        <f t="shared" si="6"/>
        <v>483.75792482368706</v>
      </c>
      <c r="F79" s="16"/>
      <c r="G79" s="16">
        <f t="shared" si="7"/>
        <v>269925.90868623159</v>
      </c>
    </row>
    <row r="80" spans="2:7" x14ac:dyDescent="0.25">
      <c r="B80" s="10">
        <v>70</v>
      </c>
      <c r="C80" s="16">
        <f t="shared" si="4"/>
        <v>1610.4648690364172</v>
      </c>
      <c r="D80" s="16">
        <f t="shared" si="5"/>
        <v>1124.6912861926317</v>
      </c>
      <c r="E80" s="16">
        <f t="shared" si="6"/>
        <v>485.77358284378556</v>
      </c>
      <c r="F80" s="16"/>
      <c r="G80" s="16">
        <f t="shared" si="7"/>
        <v>269440.13510338782</v>
      </c>
    </row>
    <row r="81" spans="2:7" x14ac:dyDescent="0.25">
      <c r="B81" s="10">
        <v>71</v>
      </c>
      <c r="C81" s="16">
        <f t="shared" si="4"/>
        <v>1610.4648690364172</v>
      </c>
      <c r="D81" s="16">
        <f t="shared" si="5"/>
        <v>1122.6672295974492</v>
      </c>
      <c r="E81" s="16">
        <f t="shared" si="6"/>
        <v>487.79763943896796</v>
      </c>
      <c r="F81" s="16"/>
      <c r="G81" s="16">
        <f t="shared" si="7"/>
        <v>268952.33746394888</v>
      </c>
    </row>
    <row r="82" spans="2:7" x14ac:dyDescent="0.25">
      <c r="B82" s="10">
        <v>72</v>
      </c>
      <c r="C82" s="16">
        <f t="shared" si="4"/>
        <v>1610.4648690364172</v>
      </c>
      <c r="D82" s="16">
        <f t="shared" si="5"/>
        <v>1120.6347394331203</v>
      </c>
      <c r="E82" s="16">
        <f t="shared" si="6"/>
        <v>489.83012960329688</v>
      </c>
      <c r="F82" s="16"/>
      <c r="G82" s="16">
        <f t="shared" si="7"/>
        <v>268462.5073343456</v>
      </c>
    </row>
    <row r="83" spans="2:7" x14ac:dyDescent="0.25">
      <c r="B83" s="10">
        <v>73</v>
      </c>
      <c r="C83" s="16">
        <f t="shared" si="4"/>
        <v>1610.4648690364172</v>
      </c>
      <c r="D83" s="16">
        <f t="shared" si="5"/>
        <v>1118.5937805597732</v>
      </c>
      <c r="E83" s="16">
        <f t="shared" si="6"/>
        <v>491.87108847664399</v>
      </c>
      <c r="F83" s="16"/>
      <c r="G83" s="16">
        <f t="shared" si="7"/>
        <v>267970.63624586898</v>
      </c>
    </row>
    <row r="84" spans="2:7" x14ac:dyDescent="0.25">
      <c r="B84" s="10">
        <v>74</v>
      </c>
      <c r="C84" s="16">
        <f t="shared" si="4"/>
        <v>1610.4648690364172</v>
      </c>
      <c r="D84" s="16">
        <f t="shared" si="5"/>
        <v>1116.5443176911208</v>
      </c>
      <c r="E84" s="16">
        <f t="shared" si="6"/>
        <v>493.92055134529642</v>
      </c>
      <c r="F84" s="16"/>
      <c r="G84" s="16">
        <f t="shared" si="7"/>
        <v>267476.71569452371</v>
      </c>
    </row>
    <row r="85" spans="2:7" x14ac:dyDescent="0.25">
      <c r="B85" s="10">
        <v>75</v>
      </c>
      <c r="C85" s="16">
        <f t="shared" si="4"/>
        <v>1610.4648690364172</v>
      </c>
      <c r="D85" s="16">
        <f t="shared" si="5"/>
        <v>1114.4863153938488</v>
      </c>
      <c r="E85" s="16">
        <f t="shared" si="6"/>
        <v>495.97855364256839</v>
      </c>
      <c r="F85" s="16"/>
      <c r="G85" s="16">
        <f t="shared" si="7"/>
        <v>266980.73714088113</v>
      </c>
    </row>
    <row r="86" spans="2:7" x14ac:dyDescent="0.25">
      <c r="B86" s="10">
        <v>76</v>
      </c>
      <c r="C86" s="16">
        <f t="shared" si="4"/>
        <v>1610.4648690364172</v>
      </c>
      <c r="D86" s="16">
        <f t="shared" si="5"/>
        <v>1112.4197380870046</v>
      </c>
      <c r="E86" s="16">
        <f t="shared" si="6"/>
        <v>498.04513094941262</v>
      </c>
      <c r="F86" s="16"/>
      <c r="G86" s="16">
        <f t="shared" si="7"/>
        <v>266482.69200993172</v>
      </c>
    </row>
    <row r="87" spans="2:7" x14ac:dyDescent="0.25">
      <c r="B87" s="10">
        <v>77</v>
      </c>
      <c r="C87" s="16">
        <f t="shared" si="4"/>
        <v>1610.4648690364172</v>
      </c>
      <c r="D87" s="16">
        <f t="shared" si="5"/>
        <v>1110.3445500413823</v>
      </c>
      <c r="E87" s="16">
        <f t="shared" si="6"/>
        <v>500.12031899503495</v>
      </c>
      <c r="F87" s="16"/>
      <c r="G87" s="16">
        <f t="shared" si="7"/>
        <v>265982.57169093669</v>
      </c>
    </row>
    <row r="88" spans="2:7" x14ac:dyDescent="0.25">
      <c r="B88" s="10">
        <v>78</v>
      </c>
      <c r="C88" s="16">
        <f t="shared" si="4"/>
        <v>1610.4648690364172</v>
      </c>
      <c r="D88" s="16">
        <f t="shared" si="5"/>
        <v>1108.2607153789029</v>
      </c>
      <c r="E88" s="16">
        <f t="shared" si="6"/>
        <v>502.20415365751433</v>
      </c>
      <c r="F88" s="16"/>
      <c r="G88" s="16">
        <f t="shared" si="7"/>
        <v>265480.36753727915</v>
      </c>
    </row>
    <row r="89" spans="2:7" x14ac:dyDescent="0.25">
      <c r="B89" s="10">
        <v>79</v>
      </c>
      <c r="C89" s="16">
        <f t="shared" si="4"/>
        <v>1610.4648690364172</v>
      </c>
      <c r="D89" s="16">
        <f t="shared" si="5"/>
        <v>1106.1681980719964</v>
      </c>
      <c r="E89" s="16">
        <f t="shared" si="6"/>
        <v>504.29667096442085</v>
      </c>
      <c r="F89" s="16"/>
      <c r="G89" s="16">
        <f t="shared" si="7"/>
        <v>264976.07086631475</v>
      </c>
    </row>
    <row r="90" spans="2:7" x14ac:dyDescent="0.25">
      <c r="B90" s="10">
        <v>80</v>
      </c>
      <c r="C90" s="16">
        <f t="shared" ref="C90:C153" si="8">IF(G89&lt;$C$7,G89*(1+$C$4),$C$7)</f>
        <v>1610.4648690364172</v>
      </c>
      <c r="D90" s="16">
        <f t="shared" si="5"/>
        <v>1104.0669619429782</v>
      </c>
      <c r="E90" s="16">
        <f t="shared" si="6"/>
        <v>506.39790709343902</v>
      </c>
      <c r="F90" s="16"/>
      <c r="G90" s="16">
        <f t="shared" si="7"/>
        <v>264469.67295922129</v>
      </c>
    </row>
    <row r="91" spans="2:7" x14ac:dyDescent="0.25">
      <c r="B91" s="10">
        <v>81</v>
      </c>
      <c r="C91" s="16">
        <f t="shared" si="8"/>
        <v>1610.4648690364172</v>
      </c>
      <c r="D91" s="16">
        <f t="shared" si="5"/>
        <v>1101.956970663422</v>
      </c>
      <c r="E91" s="16">
        <f t="shared" si="6"/>
        <v>508.50789837299521</v>
      </c>
      <c r="F91" s="16"/>
      <c r="G91" s="16">
        <f t="shared" si="7"/>
        <v>263961.16506084829</v>
      </c>
    </row>
    <row r="92" spans="2:7" x14ac:dyDescent="0.25">
      <c r="B92" s="10">
        <v>82</v>
      </c>
      <c r="C92" s="16">
        <f t="shared" si="8"/>
        <v>1610.4648690364172</v>
      </c>
      <c r="D92" s="16">
        <f t="shared" si="5"/>
        <v>1099.8381877535346</v>
      </c>
      <c r="E92" s="16">
        <f t="shared" si="6"/>
        <v>510.6266812828826</v>
      </c>
      <c r="F92" s="16"/>
      <c r="G92" s="16">
        <f t="shared" si="7"/>
        <v>263450.53837956541</v>
      </c>
    </row>
    <row r="93" spans="2:7" x14ac:dyDescent="0.25">
      <c r="B93" s="10">
        <v>83</v>
      </c>
      <c r="C93" s="16">
        <f t="shared" si="8"/>
        <v>1610.4648690364172</v>
      </c>
      <c r="D93" s="16">
        <f t="shared" si="5"/>
        <v>1097.7105765815224</v>
      </c>
      <c r="E93" s="16">
        <f t="shared" si="6"/>
        <v>512.75429245489477</v>
      </c>
      <c r="F93" s="16"/>
      <c r="G93" s="16">
        <f t="shared" si="7"/>
        <v>262937.78408711049</v>
      </c>
    </row>
    <row r="94" spans="2:7" x14ac:dyDescent="0.25">
      <c r="B94" s="10">
        <v>84</v>
      </c>
      <c r="C94" s="16">
        <f t="shared" si="8"/>
        <v>1610.4648690364172</v>
      </c>
      <c r="D94" s="16">
        <f t="shared" si="5"/>
        <v>1095.5741003629603</v>
      </c>
      <c r="E94" s="16">
        <f t="shared" si="6"/>
        <v>514.89076867345693</v>
      </c>
      <c r="F94" s="16"/>
      <c r="G94" s="16">
        <f t="shared" si="7"/>
        <v>262422.89331843704</v>
      </c>
    </row>
    <row r="95" spans="2:7" x14ac:dyDescent="0.25">
      <c r="B95" s="10">
        <v>85</v>
      </c>
      <c r="C95" s="16">
        <f t="shared" si="8"/>
        <v>1610.4648690364172</v>
      </c>
      <c r="D95" s="16">
        <f t="shared" si="5"/>
        <v>1093.4287221601544</v>
      </c>
      <c r="E95" s="16">
        <f t="shared" si="6"/>
        <v>517.03614687626282</v>
      </c>
      <c r="F95" s="16"/>
      <c r="G95" s="16">
        <f t="shared" si="7"/>
        <v>261905.85717156078</v>
      </c>
    </row>
    <row r="96" spans="2:7" x14ac:dyDescent="0.25">
      <c r="B96" s="10">
        <v>86</v>
      </c>
      <c r="C96" s="16">
        <f t="shared" si="8"/>
        <v>1610.4648690364172</v>
      </c>
      <c r="D96" s="16">
        <f t="shared" si="5"/>
        <v>1091.2744048815032</v>
      </c>
      <c r="E96" s="16">
        <f t="shared" si="6"/>
        <v>519.19046415491403</v>
      </c>
      <c r="F96" s="16"/>
      <c r="G96" s="16">
        <f t="shared" si="7"/>
        <v>261386.66670740588</v>
      </c>
    </row>
    <row r="97" spans="2:7" x14ac:dyDescent="0.25">
      <c r="B97" s="10">
        <v>87</v>
      </c>
      <c r="C97" s="16">
        <f t="shared" si="8"/>
        <v>1610.4648690364172</v>
      </c>
      <c r="D97" s="16">
        <f t="shared" si="5"/>
        <v>1089.1111112808578</v>
      </c>
      <c r="E97" s="16">
        <f t="shared" si="6"/>
        <v>521.3537577555594</v>
      </c>
      <c r="F97" s="16"/>
      <c r="G97" s="16">
        <f t="shared" si="7"/>
        <v>260865.31294965031</v>
      </c>
    </row>
    <row r="98" spans="2:7" x14ac:dyDescent="0.25">
      <c r="B98" s="10">
        <v>88</v>
      </c>
      <c r="C98" s="16">
        <f t="shared" si="8"/>
        <v>1610.4648690364172</v>
      </c>
      <c r="D98" s="16">
        <f t="shared" si="5"/>
        <v>1086.9388039568762</v>
      </c>
      <c r="E98" s="16">
        <f t="shared" si="6"/>
        <v>523.52606507954101</v>
      </c>
      <c r="F98" s="16"/>
      <c r="G98" s="16">
        <f t="shared" si="7"/>
        <v>260341.78688457076</v>
      </c>
    </row>
    <row r="99" spans="2:7" x14ac:dyDescent="0.25">
      <c r="B99" s="10">
        <v>89</v>
      </c>
      <c r="C99" s="16">
        <f t="shared" si="8"/>
        <v>1610.4648690364172</v>
      </c>
      <c r="D99" s="16">
        <f t="shared" si="5"/>
        <v>1084.7574453523782</v>
      </c>
      <c r="E99" s="16">
        <f t="shared" si="6"/>
        <v>525.70742368403899</v>
      </c>
      <c r="F99" s="16"/>
      <c r="G99" s="16">
        <f t="shared" si="7"/>
        <v>259816.07946088671</v>
      </c>
    </row>
    <row r="100" spans="2:7" x14ac:dyDescent="0.25">
      <c r="B100" s="10">
        <v>90</v>
      </c>
      <c r="C100" s="16">
        <f t="shared" si="8"/>
        <v>1610.4648690364172</v>
      </c>
      <c r="D100" s="16">
        <f t="shared" si="5"/>
        <v>1082.5669977536945</v>
      </c>
      <c r="E100" s="16">
        <f t="shared" si="6"/>
        <v>527.89787128272269</v>
      </c>
      <c r="F100" s="16"/>
      <c r="G100" s="16">
        <f t="shared" si="7"/>
        <v>259288.18158960401</v>
      </c>
    </row>
    <row r="101" spans="2:7" x14ac:dyDescent="0.25">
      <c r="B101" s="10">
        <v>91</v>
      </c>
      <c r="C101" s="16">
        <f t="shared" si="8"/>
        <v>1610.4648690364172</v>
      </c>
      <c r="D101" s="16">
        <f t="shared" si="5"/>
        <v>1080.3674232900166</v>
      </c>
      <c r="E101" s="16">
        <f t="shared" si="6"/>
        <v>530.09744574640058</v>
      </c>
      <c r="F101" s="16"/>
      <c r="G101" s="16">
        <f t="shared" si="7"/>
        <v>258758.08414385762</v>
      </c>
    </row>
    <row r="102" spans="2:7" x14ac:dyDescent="0.25">
      <c r="B102" s="10">
        <v>92</v>
      </c>
      <c r="C102" s="16">
        <f t="shared" si="8"/>
        <v>1610.4648690364172</v>
      </c>
      <c r="D102" s="16">
        <f t="shared" si="5"/>
        <v>1078.1586839327401</v>
      </c>
      <c r="E102" s="16">
        <f t="shared" si="6"/>
        <v>532.30618510367708</v>
      </c>
      <c r="F102" s="16"/>
      <c r="G102" s="16">
        <f t="shared" si="7"/>
        <v>258225.77795875393</v>
      </c>
    </row>
    <row r="103" spans="2:7" x14ac:dyDescent="0.25">
      <c r="B103" s="10">
        <v>93</v>
      </c>
      <c r="C103" s="16">
        <f t="shared" si="8"/>
        <v>1610.4648690364172</v>
      </c>
      <c r="D103" s="16">
        <f t="shared" si="5"/>
        <v>1075.940741494808</v>
      </c>
      <c r="E103" s="16">
        <f t="shared" si="6"/>
        <v>534.52412754160923</v>
      </c>
      <c r="F103" s="16"/>
      <c r="G103" s="16">
        <f t="shared" si="7"/>
        <v>257691.25383121232</v>
      </c>
    </row>
    <row r="104" spans="2:7" x14ac:dyDescent="0.25">
      <c r="B104" s="10">
        <v>94</v>
      </c>
      <c r="C104" s="16">
        <f t="shared" si="8"/>
        <v>1610.4648690364172</v>
      </c>
      <c r="D104" s="16">
        <f t="shared" si="5"/>
        <v>1073.7135576300514</v>
      </c>
      <c r="E104" s="16">
        <f t="shared" si="6"/>
        <v>536.75131140636586</v>
      </c>
      <c r="F104" s="16"/>
      <c r="G104" s="16">
        <f t="shared" si="7"/>
        <v>257154.50251980594</v>
      </c>
    </row>
    <row r="105" spans="2:7" x14ac:dyDescent="0.25">
      <c r="B105" s="10">
        <v>95</v>
      </c>
      <c r="C105" s="16">
        <f t="shared" si="8"/>
        <v>1610.4648690364172</v>
      </c>
      <c r="D105" s="16">
        <f t="shared" si="5"/>
        <v>1071.4770938325248</v>
      </c>
      <c r="E105" s="16">
        <f t="shared" si="6"/>
        <v>538.9877752038924</v>
      </c>
      <c r="F105" s="16"/>
      <c r="G105" s="16">
        <f t="shared" si="7"/>
        <v>256615.51474460206</v>
      </c>
    </row>
    <row r="106" spans="2:7" x14ac:dyDescent="0.25">
      <c r="B106" s="10">
        <v>96</v>
      </c>
      <c r="C106" s="16">
        <f t="shared" si="8"/>
        <v>1610.4648690364172</v>
      </c>
      <c r="D106" s="16">
        <f t="shared" si="5"/>
        <v>1069.2313114358419</v>
      </c>
      <c r="E106" s="16">
        <f t="shared" si="6"/>
        <v>541.2335576005753</v>
      </c>
      <c r="F106" s="16"/>
      <c r="G106" s="16">
        <f t="shared" si="7"/>
        <v>256074.28118700147</v>
      </c>
    </row>
    <row r="107" spans="2:7" x14ac:dyDescent="0.25">
      <c r="B107" s="10">
        <v>97</v>
      </c>
      <c r="C107" s="16">
        <f t="shared" si="8"/>
        <v>1610.4648690364172</v>
      </c>
      <c r="D107" s="16">
        <f t="shared" si="5"/>
        <v>1066.9761716125061</v>
      </c>
      <c r="E107" s="16">
        <f t="shared" si="6"/>
        <v>543.48869742391116</v>
      </c>
      <c r="F107" s="16"/>
      <c r="G107" s="16">
        <f t="shared" si="7"/>
        <v>255530.79248957755</v>
      </c>
    </row>
    <row r="108" spans="2:7" x14ac:dyDescent="0.25">
      <c r="B108" s="10">
        <v>98</v>
      </c>
      <c r="C108" s="16">
        <f t="shared" si="8"/>
        <v>1610.4648690364172</v>
      </c>
      <c r="D108" s="16">
        <f t="shared" si="5"/>
        <v>1064.7116353732397</v>
      </c>
      <c r="E108" s="16">
        <f t="shared" si="6"/>
        <v>545.75323366317753</v>
      </c>
      <c r="F108" s="16"/>
      <c r="G108" s="16">
        <f t="shared" si="7"/>
        <v>254985.03925591437</v>
      </c>
    </row>
    <row r="109" spans="2:7" x14ac:dyDescent="0.25">
      <c r="B109" s="10">
        <v>99</v>
      </c>
      <c r="C109" s="16">
        <f t="shared" si="8"/>
        <v>1610.4648690364172</v>
      </c>
      <c r="D109" s="16">
        <f t="shared" si="5"/>
        <v>1062.4376635663098</v>
      </c>
      <c r="E109" s="16">
        <f t="shared" si="6"/>
        <v>548.02720547010745</v>
      </c>
      <c r="F109" s="16"/>
      <c r="G109" s="16">
        <f t="shared" si="7"/>
        <v>254437.01205044426</v>
      </c>
    </row>
    <row r="110" spans="2:7" x14ac:dyDescent="0.25">
      <c r="B110" s="10">
        <v>100</v>
      </c>
      <c r="C110" s="16">
        <f t="shared" si="8"/>
        <v>1610.4648690364172</v>
      </c>
      <c r="D110" s="16">
        <f t="shared" si="5"/>
        <v>1060.154216876851</v>
      </c>
      <c r="E110" s="16">
        <f t="shared" si="6"/>
        <v>550.31065215956619</v>
      </c>
      <c r="F110" s="16"/>
      <c r="G110" s="16">
        <f t="shared" si="7"/>
        <v>253886.7013982847</v>
      </c>
    </row>
    <row r="111" spans="2:7" x14ac:dyDescent="0.25">
      <c r="B111" s="10">
        <v>101</v>
      </c>
      <c r="C111" s="16">
        <f t="shared" si="8"/>
        <v>1610.4648690364172</v>
      </c>
      <c r="D111" s="16">
        <f t="shared" si="5"/>
        <v>1057.8612558261862</v>
      </c>
      <c r="E111" s="16">
        <f t="shared" si="6"/>
        <v>552.60361321023106</v>
      </c>
      <c r="F111" s="16"/>
      <c r="G111" s="16">
        <f t="shared" si="7"/>
        <v>253334.09778507447</v>
      </c>
    </row>
    <row r="112" spans="2:7" x14ac:dyDescent="0.25">
      <c r="B112" s="10">
        <v>102</v>
      </c>
      <c r="C112" s="16">
        <f t="shared" si="8"/>
        <v>1610.4648690364172</v>
      </c>
      <c r="D112" s="16">
        <f t="shared" si="5"/>
        <v>1055.5587407711437</v>
      </c>
      <c r="E112" s="16">
        <f t="shared" si="6"/>
        <v>554.90612826527354</v>
      </c>
      <c r="F112" s="16"/>
      <c r="G112" s="16">
        <f t="shared" si="7"/>
        <v>252779.19165680918</v>
      </c>
    </row>
    <row r="113" spans="2:7" x14ac:dyDescent="0.25">
      <c r="B113" s="10">
        <v>103</v>
      </c>
      <c r="C113" s="16">
        <f t="shared" si="8"/>
        <v>1610.4648690364172</v>
      </c>
      <c r="D113" s="16">
        <f t="shared" si="5"/>
        <v>1053.2466319033715</v>
      </c>
      <c r="E113" s="16">
        <f t="shared" si="6"/>
        <v>557.2182371330457</v>
      </c>
      <c r="F113" s="16"/>
      <c r="G113" s="16">
        <f t="shared" si="7"/>
        <v>252221.97341967613</v>
      </c>
    </row>
    <row r="114" spans="2:7" x14ac:dyDescent="0.25">
      <c r="B114" s="10">
        <v>104</v>
      </c>
      <c r="C114" s="16">
        <f t="shared" si="8"/>
        <v>1610.4648690364172</v>
      </c>
      <c r="D114" s="16">
        <f t="shared" si="5"/>
        <v>1050.9248892486505</v>
      </c>
      <c r="E114" s="16">
        <f t="shared" si="6"/>
        <v>559.5399797877667</v>
      </c>
      <c r="F114" s="16"/>
      <c r="G114" s="16">
        <f t="shared" si="7"/>
        <v>251662.43343988835</v>
      </c>
    </row>
    <row r="115" spans="2:7" x14ac:dyDescent="0.25">
      <c r="B115" s="10">
        <v>105</v>
      </c>
      <c r="C115" s="16">
        <f t="shared" si="8"/>
        <v>1610.4648690364172</v>
      </c>
      <c r="D115" s="16">
        <f t="shared" si="5"/>
        <v>1048.5934726662015</v>
      </c>
      <c r="E115" s="16">
        <f t="shared" si="6"/>
        <v>561.87139637021573</v>
      </c>
      <c r="F115" s="16"/>
      <c r="G115" s="16">
        <f t="shared" si="7"/>
        <v>251100.56204351815</v>
      </c>
    </row>
    <row r="116" spans="2:7" x14ac:dyDescent="0.25">
      <c r="B116" s="10">
        <v>106</v>
      </c>
      <c r="C116" s="16">
        <f t="shared" si="8"/>
        <v>1610.4648690364172</v>
      </c>
      <c r="D116" s="16">
        <f t="shared" si="5"/>
        <v>1046.2523418479923</v>
      </c>
      <c r="E116" s="16">
        <f t="shared" si="6"/>
        <v>564.21252718842493</v>
      </c>
      <c r="F116" s="16"/>
      <c r="G116" s="16">
        <f t="shared" si="7"/>
        <v>250536.34951632973</v>
      </c>
    </row>
    <row r="117" spans="2:7" x14ac:dyDescent="0.25">
      <c r="B117" s="10">
        <v>107</v>
      </c>
      <c r="C117" s="16">
        <f t="shared" si="8"/>
        <v>1610.4648690364172</v>
      </c>
      <c r="D117" s="16">
        <f t="shared" si="5"/>
        <v>1043.9014563180406</v>
      </c>
      <c r="E117" s="16">
        <f t="shared" si="6"/>
        <v>566.56341271837664</v>
      </c>
      <c r="F117" s="16"/>
      <c r="G117" s="16">
        <f t="shared" si="7"/>
        <v>249969.78610361135</v>
      </c>
    </row>
    <row r="118" spans="2:7" x14ac:dyDescent="0.25">
      <c r="B118" s="10">
        <v>108</v>
      </c>
      <c r="C118" s="16">
        <f t="shared" si="8"/>
        <v>1610.4648690364172</v>
      </c>
      <c r="D118" s="16">
        <f t="shared" si="5"/>
        <v>1041.5407754317139</v>
      </c>
      <c r="E118" s="16">
        <f t="shared" si="6"/>
        <v>568.92409360470333</v>
      </c>
      <c r="F118" s="16"/>
      <c r="G118" s="16">
        <f t="shared" si="7"/>
        <v>249400.86201000665</v>
      </c>
    </row>
    <row r="119" spans="2:7" x14ac:dyDescent="0.25">
      <c r="B119" s="10">
        <v>109</v>
      </c>
      <c r="C119" s="16">
        <f t="shared" si="8"/>
        <v>1610.4648690364172</v>
      </c>
      <c r="D119" s="16">
        <f t="shared" si="5"/>
        <v>1039.1702583750277</v>
      </c>
      <c r="E119" s="16">
        <f t="shared" si="6"/>
        <v>571.29461066138947</v>
      </c>
      <c r="F119" s="16"/>
      <c r="G119" s="16">
        <f t="shared" si="7"/>
        <v>248829.56739934525</v>
      </c>
    </row>
    <row r="120" spans="2:7" x14ac:dyDescent="0.25">
      <c r="B120" s="10">
        <v>110</v>
      </c>
      <c r="C120" s="16">
        <f t="shared" si="8"/>
        <v>1610.4648690364172</v>
      </c>
      <c r="D120" s="16">
        <f t="shared" si="5"/>
        <v>1036.7898641639385</v>
      </c>
      <c r="E120" s="16">
        <f t="shared" si="6"/>
        <v>573.67500487247867</v>
      </c>
      <c r="F120" s="16"/>
      <c r="G120" s="16">
        <f t="shared" si="7"/>
        <v>248255.89239447279</v>
      </c>
    </row>
    <row r="121" spans="2:7" x14ac:dyDescent="0.25">
      <c r="B121" s="10">
        <v>111</v>
      </c>
      <c r="C121" s="16">
        <f t="shared" si="8"/>
        <v>1610.4648690364172</v>
      </c>
      <c r="D121" s="16">
        <f t="shared" si="5"/>
        <v>1034.3995516436366</v>
      </c>
      <c r="E121" s="16">
        <f t="shared" si="6"/>
        <v>576.06531739278057</v>
      </c>
      <c r="F121" s="16"/>
      <c r="G121" s="16">
        <f t="shared" si="7"/>
        <v>247679.82707708</v>
      </c>
    </row>
    <row r="122" spans="2:7" x14ac:dyDescent="0.25">
      <c r="B122" s="10">
        <v>112</v>
      </c>
      <c r="C122" s="16">
        <f t="shared" si="8"/>
        <v>1610.4648690364172</v>
      </c>
      <c r="D122" s="16">
        <f t="shared" si="5"/>
        <v>1031.9992794878333</v>
      </c>
      <c r="E122" s="16">
        <f t="shared" si="6"/>
        <v>578.46558954858392</v>
      </c>
      <c r="F122" s="16"/>
      <c r="G122" s="16">
        <f t="shared" si="7"/>
        <v>247101.36148753142</v>
      </c>
    </row>
    <row r="123" spans="2:7" x14ac:dyDescent="0.25">
      <c r="B123" s="10">
        <v>113</v>
      </c>
      <c r="C123" s="16">
        <f t="shared" si="8"/>
        <v>1610.4648690364172</v>
      </c>
      <c r="D123" s="16">
        <f t="shared" si="5"/>
        <v>1029.5890061980476</v>
      </c>
      <c r="E123" s="16">
        <f t="shared" si="6"/>
        <v>580.87586283836959</v>
      </c>
      <c r="F123" s="16"/>
      <c r="G123" s="16">
        <f t="shared" si="7"/>
        <v>246520.48562469304</v>
      </c>
    </row>
    <row r="124" spans="2:7" x14ac:dyDescent="0.25">
      <c r="B124" s="10">
        <v>114</v>
      </c>
      <c r="C124" s="16">
        <f t="shared" si="8"/>
        <v>1610.4648690364172</v>
      </c>
      <c r="D124" s="16">
        <f t="shared" si="5"/>
        <v>1027.1686901028877</v>
      </c>
      <c r="E124" s="16">
        <f t="shared" si="6"/>
        <v>583.29617893352952</v>
      </c>
      <c r="F124" s="16"/>
      <c r="G124" s="16">
        <f t="shared" si="7"/>
        <v>245937.18944575952</v>
      </c>
    </row>
    <row r="125" spans="2:7" x14ac:dyDescent="0.25">
      <c r="B125" s="10">
        <v>115</v>
      </c>
      <c r="C125" s="16">
        <f t="shared" si="8"/>
        <v>1610.4648690364172</v>
      </c>
      <c r="D125" s="16">
        <f t="shared" si="5"/>
        <v>1024.7382893573313</v>
      </c>
      <c r="E125" s="16">
        <f t="shared" si="6"/>
        <v>585.72657967908594</v>
      </c>
      <c r="F125" s="16"/>
      <c r="G125" s="16">
        <f t="shared" si="7"/>
        <v>245351.46286608043</v>
      </c>
    </row>
    <row r="126" spans="2:7" x14ac:dyDescent="0.25">
      <c r="B126" s="10">
        <v>116</v>
      </c>
      <c r="C126" s="16">
        <f t="shared" si="8"/>
        <v>1610.4648690364172</v>
      </c>
      <c r="D126" s="16">
        <f t="shared" si="5"/>
        <v>1022.2977619420018</v>
      </c>
      <c r="E126" s="16">
        <f t="shared" si="6"/>
        <v>588.16710709441543</v>
      </c>
      <c r="F126" s="16"/>
      <c r="G126" s="16">
        <f t="shared" si="7"/>
        <v>244763.295758986</v>
      </c>
    </row>
    <row r="127" spans="2:7" x14ac:dyDescent="0.25">
      <c r="B127" s="10">
        <v>117</v>
      </c>
      <c r="C127" s="16">
        <f t="shared" si="8"/>
        <v>1610.4648690364172</v>
      </c>
      <c r="D127" s="16">
        <f t="shared" si="5"/>
        <v>1019.8470656624417</v>
      </c>
      <c r="E127" s="16">
        <f t="shared" si="6"/>
        <v>590.61780337397556</v>
      </c>
      <c r="F127" s="16"/>
      <c r="G127" s="16">
        <f t="shared" si="7"/>
        <v>244172.67795561202</v>
      </c>
    </row>
    <row r="128" spans="2:7" x14ac:dyDescent="0.25">
      <c r="B128" s="10">
        <v>118</v>
      </c>
      <c r="C128" s="16">
        <f t="shared" si="8"/>
        <v>1610.4648690364172</v>
      </c>
      <c r="D128" s="16">
        <f t="shared" si="5"/>
        <v>1017.3861581483834</v>
      </c>
      <c r="E128" s="16">
        <f t="shared" si="6"/>
        <v>593.07871088803381</v>
      </c>
      <c r="F128" s="16"/>
      <c r="G128" s="16">
        <f t="shared" si="7"/>
        <v>243579.59924472397</v>
      </c>
    </row>
    <row r="129" spans="2:7" x14ac:dyDescent="0.25">
      <c r="B129" s="10">
        <v>119</v>
      </c>
      <c r="C129" s="16">
        <f t="shared" si="8"/>
        <v>1610.4648690364172</v>
      </c>
      <c r="D129" s="16">
        <f t="shared" si="5"/>
        <v>1014.9149968530165</v>
      </c>
      <c r="E129" s="16">
        <f t="shared" si="6"/>
        <v>595.54987218340068</v>
      </c>
      <c r="F129" s="16"/>
      <c r="G129" s="16">
        <f t="shared" si="7"/>
        <v>242984.04937254058</v>
      </c>
    </row>
    <row r="130" spans="2:7" x14ac:dyDescent="0.25">
      <c r="B130" s="10">
        <v>120</v>
      </c>
      <c r="C130" s="16">
        <f t="shared" si="8"/>
        <v>1610.4648690364172</v>
      </c>
      <c r="D130" s="16">
        <f t="shared" si="5"/>
        <v>1012.4335390522524</v>
      </c>
      <c r="E130" s="16">
        <f t="shared" si="6"/>
        <v>598.03132998416481</v>
      </c>
      <c r="F130" s="16"/>
      <c r="G130" s="16">
        <f t="shared" si="7"/>
        <v>242386.01804255642</v>
      </c>
    </row>
    <row r="131" spans="2:7" x14ac:dyDescent="0.25">
      <c r="B131" s="10">
        <v>121</v>
      </c>
      <c r="C131" s="16">
        <f t="shared" si="8"/>
        <v>1610.4648690364172</v>
      </c>
      <c r="D131" s="16">
        <f t="shared" si="5"/>
        <v>1009.941741843985</v>
      </c>
      <c r="E131" s="16">
        <f t="shared" si="6"/>
        <v>600.52312719243218</v>
      </c>
      <c r="F131" s="16"/>
      <c r="G131" s="16">
        <f t="shared" si="7"/>
        <v>241785.49491536399</v>
      </c>
    </row>
    <row r="132" spans="2:7" x14ac:dyDescent="0.25">
      <c r="B132" s="10">
        <v>122</v>
      </c>
      <c r="C132" s="16">
        <f t="shared" si="8"/>
        <v>1610.4648690364172</v>
      </c>
      <c r="D132" s="16">
        <f t="shared" si="5"/>
        <v>1007.43956214735</v>
      </c>
      <c r="E132" s="16">
        <f t="shared" si="6"/>
        <v>603.02530688906722</v>
      </c>
      <c r="F132" s="16"/>
      <c r="G132" s="16">
        <f t="shared" si="7"/>
        <v>241182.46960847493</v>
      </c>
    </row>
    <row r="133" spans="2:7" x14ac:dyDescent="0.25">
      <c r="B133" s="10">
        <v>123</v>
      </c>
      <c r="C133" s="16">
        <f t="shared" si="8"/>
        <v>1610.4648690364172</v>
      </c>
      <c r="D133" s="16">
        <f t="shared" si="5"/>
        <v>1004.9269567019788</v>
      </c>
      <c r="E133" s="16">
        <f t="shared" si="6"/>
        <v>605.53791233443837</v>
      </c>
      <c r="F133" s="16"/>
      <c r="G133" s="16">
        <f t="shared" si="7"/>
        <v>240576.9316961405</v>
      </c>
    </row>
    <row r="134" spans="2:7" x14ac:dyDescent="0.25">
      <c r="B134" s="10">
        <v>124</v>
      </c>
      <c r="C134" s="16">
        <f t="shared" si="8"/>
        <v>1610.4648690364172</v>
      </c>
      <c r="D134" s="16">
        <f t="shared" si="5"/>
        <v>1002.4038820672521</v>
      </c>
      <c r="E134" s="16">
        <f t="shared" si="6"/>
        <v>608.06098696916513</v>
      </c>
      <c r="F134" s="16"/>
      <c r="G134" s="16">
        <f t="shared" si="7"/>
        <v>239968.87070917134</v>
      </c>
    </row>
    <row r="135" spans="2:7" x14ac:dyDescent="0.25">
      <c r="B135" s="10">
        <v>125</v>
      </c>
      <c r="C135" s="16">
        <f t="shared" si="8"/>
        <v>1610.4648690364172</v>
      </c>
      <c r="D135" s="16">
        <f t="shared" si="5"/>
        <v>999.87029462154726</v>
      </c>
      <c r="E135" s="16">
        <f t="shared" si="6"/>
        <v>610.59457441486995</v>
      </c>
      <c r="F135" s="16"/>
      <c r="G135" s="16">
        <f t="shared" si="7"/>
        <v>239358.27613475648</v>
      </c>
    </row>
    <row r="136" spans="2:7" x14ac:dyDescent="0.25">
      <c r="B136" s="10">
        <v>126</v>
      </c>
      <c r="C136" s="16">
        <f t="shared" si="8"/>
        <v>1610.4648690364172</v>
      </c>
      <c r="D136" s="16">
        <f t="shared" si="5"/>
        <v>997.32615056148529</v>
      </c>
      <c r="E136" s="16">
        <f t="shared" si="6"/>
        <v>613.13871847493192</v>
      </c>
      <c r="F136" s="16"/>
      <c r="G136" s="16">
        <f t="shared" si="7"/>
        <v>238745.13741628156</v>
      </c>
    </row>
    <row r="137" spans="2:7" x14ac:dyDescent="0.25">
      <c r="B137" s="10">
        <v>127</v>
      </c>
      <c r="C137" s="16">
        <f t="shared" si="8"/>
        <v>1610.4648690364172</v>
      </c>
      <c r="D137" s="16">
        <f t="shared" si="5"/>
        <v>994.77140590117313</v>
      </c>
      <c r="E137" s="16">
        <f t="shared" si="6"/>
        <v>615.69346313524409</v>
      </c>
      <c r="F137" s="16"/>
      <c r="G137" s="16">
        <f t="shared" si="7"/>
        <v>238129.44395314631</v>
      </c>
    </row>
    <row r="138" spans="2:7" x14ac:dyDescent="0.25">
      <c r="B138" s="10">
        <v>128</v>
      </c>
      <c r="C138" s="16">
        <f t="shared" si="8"/>
        <v>1610.4648690364172</v>
      </c>
      <c r="D138" s="16">
        <f t="shared" si="5"/>
        <v>992.20601647144292</v>
      </c>
      <c r="E138" s="16">
        <f t="shared" si="6"/>
        <v>618.25885256497429</v>
      </c>
      <c r="F138" s="16"/>
      <c r="G138" s="16">
        <f t="shared" si="7"/>
        <v>237511.18510058135</v>
      </c>
    </row>
    <row r="139" spans="2:7" x14ac:dyDescent="0.25">
      <c r="B139" s="10">
        <v>129</v>
      </c>
      <c r="C139" s="16">
        <f t="shared" si="8"/>
        <v>1610.4648690364172</v>
      </c>
      <c r="D139" s="16">
        <f t="shared" si="5"/>
        <v>989.629937919089</v>
      </c>
      <c r="E139" s="16">
        <f t="shared" si="6"/>
        <v>620.83493111732821</v>
      </c>
      <c r="F139" s="16"/>
      <c r="G139" s="16">
        <f t="shared" si="7"/>
        <v>236890.35016946401</v>
      </c>
    </row>
    <row r="140" spans="2:7" x14ac:dyDescent="0.25">
      <c r="B140" s="10">
        <v>130</v>
      </c>
      <c r="C140" s="16">
        <f t="shared" si="8"/>
        <v>1610.4648690364172</v>
      </c>
      <c r="D140" s="16">
        <f t="shared" ref="D140:D203" si="9">G139*$C$4</f>
        <v>987.0431257061</v>
      </c>
      <c r="E140" s="16">
        <f t="shared" ref="E140:E203" si="10">C140-D140</f>
        <v>623.42174333031721</v>
      </c>
      <c r="F140" s="16"/>
      <c r="G140" s="16">
        <f t="shared" ref="G140:G203" si="11">G139-F140-E140</f>
        <v>236266.9284261337</v>
      </c>
    </row>
    <row r="141" spans="2:7" x14ac:dyDescent="0.25">
      <c r="B141" s="10">
        <v>131</v>
      </c>
      <c r="C141" s="16">
        <f t="shared" si="8"/>
        <v>1610.4648690364172</v>
      </c>
      <c r="D141" s="16">
        <f t="shared" si="9"/>
        <v>984.44553510889045</v>
      </c>
      <c r="E141" s="16">
        <f t="shared" si="10"/>
        <v>626.01933392752676</v>
      </c>
      <c r="F141" s="16"/>
      <c r="G141" s="16">
        <f t="shared" si="11"/>
        <v>235640.90909220619</v>
      </c>
    </row>
    <row r="142" spans="2:7" x14ac:dyDescent="0.25">
      <c r="B142" s="10">
        <v>132</v>
      </c>
      <c r="C142" s="16">
        <f t="shared" si="8"/>
        <v>1610.4648690364172</v>
      </c>
      <c r="D142" s="16">
        <f t="shared" si="9"/>
        <v>981.83712121752581</v>
      </c>
      <c r="E142" s="16">
        <f t="shared" si="10"/>
        <v>628.62774781889141</v>
      </c>
      <c r="F142" s="16"/>
      <c r="G142" s="16">
        <f t="shared" si="11"/>
        <v>235012.2813443873</v>
      </c>
    </row>
    <row r="143" spans="2:7" x14ac:dyDescent="0.25">
      <c r="B143" s="10">
        <v>133</v>
      </c>
      <c r="C143" s="16">
        <f t="shared" si="8"/>
        <v>1610.4648690364172</v>
      </c>
      <c r="D143" s="16">
        <f t="shared" si="9"/>
        <v>979.21783893494705</v>
      </c>
      <c r="E143" s="16">
        <f t="shared" si="10"/>
        <v>631.24703010147016</v>
      </c>
      <c r="F143" s="16"/>
      <c r="G143" s="16">
        <f t="shared" si="11"/>
        <v>234381.03431428582</v>
      </c>
    </row>
    <row r="144" spans="2:7" x14ac:dyDescent="0.25">
      <c r="B144" s="10">
        <v>134</v>
      </c>
      <c r="C144" s="16">
        <f t="shared" si="8"/>
        <v>1610.4648690364172</v>
      </c>
      <c r="D144" s="16">
        <f t="shared" si="9"/>
        <v>976.58764297619086</v>
      </c>
      <c r="E144" s="16">
        <f t="shared" si="10"/>
        <v>633.87722606022635</v>
      </c>
      <c r="F144" s="16"/>
      <c r="G144" s="16">
        <f t="shared" si="11"/>
        <v>233747.15708822559</v>
      </c>
    </row>
    <row r="145" spans="2:7" x14ac:dyDescent="0.25">
      <c r="B145" s="10">
        <v>135</v>
      </c>
      <c r="C145" s="16">
        <f t="shared" si="8"/>
        <v>1610.4648690364172</v>
      </c>
      <c r="D145" s="16">
        <f t="shared" si="9"/>
        <v>973.94648786760661</v>
      </c>
      <c r="E145" s="16">
        <f t="shared" si="10"/>
        <v>636.51838116881061</v>
      </c>
      <c r="F145" s="16"/>
      <c r="G145" s="16">
        <f t="shared" si="11"/>
        <v>233110.63870705679</v>
      </c>
    </row>
    <row r="146" spans="2:7" x14ac:dyDescent="0.25">
      <c r="B146" s="10">
        <v>136</v>
      </c>
      <c r="C146" s="16">
        <f t="shared" si="8"/>
        <v>1610.4648690364172</v>
      </c>
      <c r="D146" s="16">
        <f t="shared" si="9"/>
        <v>971.29432794606998</v>
      </c>
      <c r="E146" s="16">
        <f t="shared" si="10"/>
        <v>639.17054109034723</v>
      </c>
      <c r="F146" s="16"/>
      <c r="G146" s="16">
        <f t="shared" si="11"/>
        <v>232471.46816596645</v>
      </c>
    </row>
    <row r="147" spans="2:7" x14ac:dyDescent="0.25">
      <c r="B147" s="10">
        <v>137</v>
      </c>
      <c r="C147" s="16">
        <f t="shared" si="8"/>
        <v>1610.4648690364172</v>
      </c>
      <c r="D147" s="16">
        <f t="shared" si="9"/>
        <v>968.63111735819348</v>
      </c>
      <c r="E147" s="16">
        <f t="shared" si="10"/>
        <v>641.83375167822373</v>
      </c>
      <c r="F147" s="16"/>
      <c r="G147" s="16">
        <f t="shared" si="11"/>
        <v>231829.63441428822</v>
      </c>
    </row>
    <row r="148" spans="2:7" x14ac:dyDescent="0.25">
      <c r="B148" s="10">
        <v>138</v>
      </c>
      <c r="C148" s="16">
        <f t="shared" si="8"/>
        <v>1610.4648690364172</v>
      </c>
      <c r="D148" s="16">
        <f t="shared" si="9"/>
        <v>965.95681005953418</v>
      </c>
      <c r="E148" s="16">
        <f t="shared" si="10"/>
        <v>644.50805897688304</v>
      </c>
      <c r="F148" s="16"/>
      <c r="G148" s="16">
        <f t="shared" si="11"/>
        <v>231185.12635531134</v>
      </c>
    </row>
    <row r="149" spans="2:7" x14ac:dyDescent="0.25">
      <c r="B149" s="10">
        <v>139</v>
      </c>
      <c r="C149" s="16">
        <f t="shared" si="8"/>
        <v>1610.4648690364172</v>
      </c>
      <c r="D149" s="16">
        <f t="shared" si="9"/>
        <v>963.27135981379718</v>
      </c>
      <c r="E149" s="16">
        <f t="shared" si="10"/>
        <v>647.19350922262004</v>
      </c>
      <c r="F149" s="16"/>
      <c r="G149" s="16">
        <f t="shared" si="11"/>
        <v>230537.93284608872</v>
      </c>
    </row>
    <row r="150" spans="2:7" x14ac:dyDescent="0.25">
      <c r="B150" s="10">
        <v>140</v>
      </c>
      <c r="C150" s="16">
        <f t="shared" si="8"/>
        <v>1610.4648690364172</v>
      </c>
      <c r="D150" s="16">
        <f t="shared" si="9"/>
        <v>960.57472019203635</v>
      </c>
      <c r="E150" s="16">
        <f t="shared" si="10"/>
        <v>649.89014884438086</v>
      </c>
      <c r="F150" s="16"/>
      <c r="G150" s="16">
        <f t="shared" si="11"/>
        <v>229888.04269724432</v>
      </c>
    </row>
    <row r="151" spans="2:7" x14ac:dyDescent="0.25">
      <c r="B151" s="10">
        <v>141</v>
      </c>
      <c r="C151" s="16">
        <f t="shared" si="8"/>
        <v>1610.4648690364172</v>
      </c>
      <c r="D151" s="16">
        <f t="shared" si="9"/>
        <v>957.86684457185129</v>
      </c>
      <c r="E151" s="16">
        <f t="shared" si="10"/>
        <v>652.59802446456592</v>
      </c>
      <c r="F151" s="16"/>
      <c r="G151" s="16">
        <f t="shared" si="11"/>
        <v>229235.44467277976</v>
      </c>
    </row>
    <row r="152" spans="2:7" x14ac:dyDescent="0.25">
      <c r="B152" s="10">
        <v>142</v>
      </c>
      <c r="C152" s="16">
        <f t="shared" si="8"/>
        <v>1610.4648690364172</v>
      </c>
      <c r="D152" s="16">
        <f t="shared" si="9"/>
        <v>955.14768613658237</v>
      </c>
      <c r="E152" s="16">
        <f t="shared" si="10"/>
        <v>655.31718289983485</v>
      </c>
      <c r="F152" s="16"/>
      <c r="G152" s="16">
        <f t="shared" si="11"/>
        <v>228580.12748987993</v>
      </c>
    </row>
    <row r="153" spans="2:7" x14ac:dyDescent="0.25">
      <c r="B153" s="10">
        <v>143</v>
      </c>
      <c r="C153" s="16">
        <f t="shared" si="8"/>
        <v>1610.4648690364172</v>
      </c>
      <c r="D153" s="16">
        <f t="shared" si="9"/>
        <v>952.41719787449972</v>
      </c>
      <c r="E153" s="16">
        <f t="shared" si="10"/>
        <v>658.04767116191749</v>
      </c>
      <c r="F153" s="16"/>
      <c r="G153" s="16">
        <f t="shared" si="11"/>
        <v>227922.07981871802</v>
      </c>
    </row>
    <row r="154" spans="2:7" x14ac:dyDescent="0.25">
      <c r="B154" s="10">
        <v>144</v>
      </c>
      <c r="C154" s="16">
        <f t="shared" ref="C154:C217" si="12">IF(G153&lt;$C$7,G153*(1+$C$4),$C$7)</f>
        <v>1610.4648690364172</v>
      </c>
      <c r="D154" s="16">
        <f t="shared" si="9"/>
        <v>949.67533257799175</v>
      </c>
      <c r="E154" s="16">
        <f t="shared" si="10"/>
        <v>660.78953645842546</v>
      </c>
      <c r="F154" s="16"/>
      <c r="G154" s="16">
        <f t="shared" si="11"/>
        <v>227261.29028225961</v>
      </c>
    </row>
    <row r="155" spans="2:7" x14ac:dyDescent="0.25">
      <c r="B155" s="10">
        <v>145</v>
      </c>
      <c r="C155" s="16">
        <f t="shared" si="12"/>
        <v>1610.4648690364172</v>
      </c>
      <c r="D155" s="16">
        <f t="shared" si="9"/>
        <v>946.9220428427484</v>
      </c>
      <c r="E155" s="16">
        <f t="shared" si="10"/>
        <v>663.54282619366882</v>
      </c>
      <c r="F155" s="16"/>
      <c r="G155" s="16">
        <f t="shared" si="11"/>
        <v>226597.74745606593</v>
      </c>
    </row>
    <row r="156" spans="2:7" x14ac:dyDescent="0.25">
      <c r="B156" s="10">
        <v>146</v>
      </c>
      <c r="C156" s="16">
        <f t="shared" si="12"/>
        <v>1610.4648690364172</v>
      </c>
      <c r="D156" s="16">
        <f t="shared" si="9"/>
        <v>944.15728106694132</v>
      </c>
      <c r="E156" s="16">
        <f t="shared" si="10"/>
        <v>666.30758796947589</v>
      </c>
      <c r="F156" s="16"/>
      <c r="G156" s="16">
        <f t="shared" si="11"/>
        <v>225931.43986809647</v>
      </c>
    </row>
    <row r="157" spans="2:7" x14ac:dyDescent="0.25">
      <c r="B157" s="10">
        <v>147</v>
      </c>
      <c r="C157" s="16">
        <f t="shared" si="12"/>
        <v>1610.4648690364172</v>
      </c>
      <c r="D157" s="16">
        <f t="shared" si="9"/>
        <v>941.38099945040187</v>
      </c>
      <c r="E157" s="16">
        <f t="shared" si="10"/>
        <v>669.08386958601534</v>
      </c>
      <c r="F157" s="16"/>
      <c r="G157" s="16">
        <f t="shared" si="11"/>
        <v>225262.35599851044</v>
      </c>
    </row>
    <row r="158" spans="2:7" x14ac:dyDescent="0.25">
      <c r="B158" s="10">
        <v>148</v>
      </c>
      <c r="C158" s="16">
        <f t="shared" si="12"/>
        <v>1610.4648690364172</v>
      </c>
      <c r="D158" s="16">
        <f t="shared" si="9"/>
        <v>938.59314999379342</v>
      </c>
      <c r="E158" s="16">
        <f t="shared" si="10"/>
        <v>671.87171904262379</v>
      </c>
      <c r="F158" s="16"/>
      <c r="G158" s="16">
        <f t="shared" si="11"/>
        <v>224590.48427946781</v>
      </c>
    </row>
    <row r="159" spans="2:7" x14ac:dyDescent="0.25">
      <c r="B159" s="10">
        <v>149</v>
      </c>
      <c r="C159" s="16">
        <f t="shared" si="12"/>
        <v>1610.4648690364172</v>
      </c>
      <c r="D159" s="16">
        <f t="shared" si="9"/>
        <v>935.79368449778258</v>
      </c>
      <c r="E159" s="16">
        <f t="shared" si="10"/>
        <v>674.67118453863463</v>
      </c>
      <c r="F159" s="16"/>
      <c r="G159" s="16">
        <f t="shared" si="11"/>
        <v>223915.81309492918</v>
      </c>
    </row>
    <row r="160" spans="2:7" x14ac:dyDescent="0.25">
      <c r="B160" s="10">
        <v>150</v>
      </c>
      <c r="C160" s="16">
        <f t="shared" si="12"/>
        <v>1610.4648690364172</v>
      </c>
      <c r="D160" s="16">
        <f t="shared" si="9"/>
        <v>932.98255456220488</v>
      </c>
      <c r="E160" s="16">
        <f t="shared" si="10"/>
        <v>677.48231447421233</v>
      </c>
      <c r="F160" s="16"/>
      <c r="G160" s="16">
        <f t="shared" si="11"/>
        <v>223238.33078045497</v>
      </c>
    </row>
    <row r="161" spans="2:7" x14ac:dyDescent="0.25">
      <c r="B161" s="10">
        <v>151</v>
      </c>
      <c r="C161" s="16">
        <f t="shared" si="12"/>
        <v>1610.4648690364172</v>
      </c>
      <c r="D161" s="16">
        <f t="shared" si="9"/>
        <v>930.15971158522905</v>
      </c>
      <c r="E161" s="16">
        <f t="shared" si="10"/>
        <v>680.30515745118817</v>
      </c>
      <c r="F161" s="16"/>
      <c r="G161" s="16">
        <f t="shared" si="11"/>
        <v>222558.02562300378</v>
      </c>
    </row>
    <row r="162" spans="2:7" x14ac:dyDescent="0.25">
      <c r="B162" s="10">
        <v>152</v>
      </c>
      <c r="C162" s="16">
        <f t="shared" si="12"/>
        <v>1610.4648690364172</v>
      </c>
      <c r="D162" s="16">
        <f t="shared" si="9"/>
        <v>927.3251067625157</v>
      </c>
      <c r="E162" s="16">
        <f t="shared" si="10"/>
        <v>683.13976227390151</v>
      </c>
      <c r="F162" s="16"/>
      <c r="G162" s="16">
        <f t="shared" si="11"/>
        <v>221874.88586072988</v>
      </c>
    </row>
    <row r="163" spans="2:7" x14ac:dyDescent="0.25">
      <c r="B163" s="10">
        <v>153</v>
      </c>
      <c r="C163" s="16">
        <f t="shared" si="12"/>
        <v>1610.4648690364172</v>
      </c>
      <c r="D163" s="16">
        <f t="shared" si="9"/>
        <v>924.47869108637451</v>
      </c>
      <c r="E163" s="16">
        <f t="shared" si="10"/>
        <v>685.9861779500427</v>
      </c>
      <c r="F163" s="16"/>
      <c r="G163" s="16">
        <f t="shared" si="11"/>
        <v>221188.89968277983</v>
      </c>
    </row>
    <row r="164" spans="2:7" x14ac:dyDescent="0.25">
      <c r="B164" s="10">
        <v>154</v>
      </c>
      <c r="C164" s="16">
        <f t="shared" si="12"/>
        <v>1610.4648690364172</v>
      </c>
      <c r="D164" s="16">
        <f t="shared" si="9"/>
        <v>921.62041534491595</v>
      </c>
      <c r="E164" s="16">
        <f t="shared" si="10"/>
        <v>688.84445369150126</v>
      </c>
      <c r="F164" s="16"/>
      <c r="G164" s="16">
        <f t="shared" si="11"/>
        <v>220500.05522908832</v>
      </c>
    </row>
    <row r="165" spans="2:7" x14ac:dyDescent="0.25">
      <c r="B165" s="10">
        <v>155</v>
      </c>
      <c r="C165" s="16">
        <f t="shared" si="12"/>
        <v>1610.4648690364172</v>
      </c>
      <c r="D165" s="16">
        <f t="shared" si="9"/>
        <v>918.7502301212013</v>
      </c>
      <c r="E165" s="16">
        <f t="shared" si="10"/>
        <v>691.71463891521591</v>
      </c>
      <c r="F165" s="16"/>
      <c r="G165" s="16">
        <f t="shared" si="11"/>
        <v>219808.34059017312</v>
      </c>
    </row>
    <row r="166" spans="2:7" x14ac:dyDescent="0.25">
      <c r="B166" s="10">
        <v>156</v>
      </c>
      <c r="C166" s="16">
        <f t="shared" si="12"/>
        <v>1610.4648690364172</v>
      </c>
      <c r="D166" s="16">
        <f t="shared" si="9"/>
        <v>915.868085792388</v>
      </c>
      <c r="E166" s="16">
        <f t="shared" si="10"/>
        <v>694.59678324402921</v>
      </c>
      <c r="F166" s="16"/>
      <c r="G166" s="16">
        <f t="shared" si="11"/>
        <v>219113.74380692909</v>
      </c>
    </row>
    <row r="167" spans="2:7" x14ac:dyDescent="0.25">
      <c r="B167" s="10">
        <v>157</v>
      </c>
      <c r="C167" s="16">
        <f t="shared" si="12"/>
        <v>1610.4648690364172</v>
      </c>
      <c r="D167" s="16">
        <f t="shared" si="9"/>
        <v>912.97393252887116</v>
      </c>
      <c r="E167" s="16">
        <f t="shared" si="10"/>
        <v>697.49093650754605</v>
      </c>
      <c r="F167" s="16"/>
      <c r="G167" s="16">
        <f t="shared" si="11"/>
        <v>218416.25287042154</v>
      </c>
    </row>
    <row r="168" spans="2:7" x14ac:dyDescent="0.25">
      <c r="B168" s="10">
        <v>158</v>
      </c>
      <c r="C168" s="16">
        <f t="shared" si="12"/>
        <v>1610.4648690364172</v>
      </c>
      <c r="D168" s="16">
        <f t="shared" si="9"/>
        <v>910.06772029342301</v>
      </c>
      <c r="E168" s="16">
        <f t="shared" si="10"/>
        <v>700.3971487429942</v>
      </c>
      <c r="F168" s="16"/>
      <c r="G168" s="16">
        <f t="shared" si="11"/>
        <v>217715.85572167856</v>
      </c>
    </row>
    <row r="169" spans="2:7" x14ac:dyDescent="0.25">
      <c r="B169" s="10">
        <v>159</v>
      </c>
      <c r="C169" s="16">
        <f t="shared" si="12"/>
        <v>1610.4648690364172</v>
      </c>
      <c r="D169" s="16">
        <f t="shared" si="9"/>
        <v>907.14939884032731</v>
      </c>
      <c r="E169" s="16">
        <f t="shared" si="10"/>
        <v>703.3154701960899</v>
      </c>
      <c r="F169" s="16"/>
      <c r="G169" s="16">
        <f t="shared" si="11"/>
        <v>217012.54025148245</v>
      </c>
    </row>
    <row r="170" spans="2:7" x14ac:dyDescent="0.25">
      <c r="B170" s="10">
        <v>160</v>
      </c>
      <c r="C170" s="16">
        <f t="shared" si="12"/>
        <v>1610.4648690364172</v>
      </c>
      <c r="D170" s="16">
        <f t="shared" si="9"/>
        <v>904.21891771451021</v>
      </c>
      <c r="E170" s="16">
        <f t="shared" si="10"/>
        <v>706.245951321907</v>
      </c>
      <c r="F170" s="16"/>
      <c r="G170" s="16">
        <f t="shared" si="11"/>
        <v>216306.29430016055</v>
      </c>
    </row>
    <row r="171" spans="2:7" x14ac:dyDescent="0.25">
      <c r="B171" s="10">
        <v>161</v>
      </c>
      <c r="C171" s="16">
        <f t="shared" si="12"/>
        <v>1610.4648690364172</v>
      </c>
      <c r="D171" s="16">
        <f t="shared" si="9"/>
        <v>901.27622625066897</v>
      </c>
      <c r="E171" s="16">
        <f t="shared" si="10"/>
        <v>709.18864278574824</v>
      </c>
      <c r="F171" s="16"/>
      <c r="G171" s="16">
        <f t="shared" si="11"/>
        <v>215597.10565737481</v>
      </c>
    </row>
    <row r="172" spans="2:7" x14ac:dyDescent="0.25">
      <c r="B172" s="10">
        <v>162</v>
      </c>
      <c r="C172" s="16">
        <f t="shared" si="12"/>
        <v>1610.4648690364172</v>
      </c>
      <c r="D172" s="16">
        <f t="shared" si="9"/>
        <v>898.32127357239506</v>
      </c>
      <c r="E172" s="16">
        <f t="shared" si="10"/>
        <v>712.14359546402216</v>
      </c>
      <c r="F172" s="16"/>
      <c r="G172" s="16">
        <f t="shared" si="11"/>
        <v>214884.96206191077</v>
      </c>
    </row>
    <row r="173" spans="2:7" x14ac:dyDescent="0.25">
      <c r="B173" s="10">
        <v>163</v>
      </c>
      <c r="C173" s="16">
        <f t="shared" si="12"/>
        <v>1610.4648690364172</v>
      </c>
      <c r="D173" s="16">
        <f t="shared" si="9"/>
        <v>895.35400859129493</v>
      </c>
      <c r="E173" s="16">
        <f t="shared" si="10"/>
        <v>715.11086044512228</v>
      </c>
      <c r="F173" s="16"/>
      <c r="G173" s="16">
        <f t="shared" si="11"/>
        <v>214169.85120146564</v>
      </c>
    </row>
    <row r="174" spans="2:7" x14ac:dyDescent="0.25">
      <c r="B174" s="10">
        <v>164</v>
      </c>
      <c r="C174" s="16">
        <f t="shared" si="12"/>
        <v>1610.4648690364172</v>
      </c>
      <c r="D174" s="16">
        <f t="shared" si="9"/>
        <v>892.37438000610689</v>
      </c>
      <c r="E174" s="16">
        <f t="shared" si="10"/>
        <v>718.09048903031032</v>
      </c>
      <c r="F174" s="16"/>
      <c r="G174" s="16">
        <f t="shared" si="11"/>
        <v>213451.76071243532</v>
      </c>
    </row>
    <row r="175" spans="2:7" x14ac:dyDescent="0.25">
      <c r="B175" s="10">
        <v>165</v>
      </c>
      <c r="C175" s="16">
        <f t="shared" si="12"/>
        <v>1610.4648690364172</v>
      </c>
      <c r="D175" s="16">
        <f t="shared" si="9"/>
        <v>889.38233630181378</v>
      </c>
      <c r="E175" s="16">
        <f t="shared" si="10"/>
        <v>721.08253273460343</v>
      </c>
      <c r="F175" s="16"/>
      <c r="G175" s="16">
        <f t="shared" si="11"/>
        <v>212730.67817970071</v>
      </c>
    </row>
    <row r="176" spans="2:7" x14ac:dyDescent="0.25">
      <c r="B176" s="10">
        <v>166</v>
      </c>
      <c r="C176" s="16">
        <f t="shared" si="12"/>
        <v>1610.4648690364172</v>
      </c>
      <c r="D176" s="16">
        <f t="shared" si="9"/>
        <v>886.37782574875291</v>
      </c>
      <c r="E176" s="16">
        <f t="shared" si="10"/>
        <v>724.0870432876643</v>
      </c>
      <c r="F176" s="16"/>
      <c r="G176" s="16">
        <f t="shared" si="11"/>
        <v>212006.59113641304</v>
      </c>
    </row>
    <row r="177" spans="2:7" x14ac:dyDescent="0.25">
      <c r="B177" s="10">
        <v>167</v>
      </c>
      <c r="C177" s="16">
        <f t="shared" si="12"/>
        <v>1610.4648690364172</v>
      </c>
      <c r="D177" s="16">
        <f t="shared" si="9"/>
        <v>883.36079640172102</v>
      </c>
      <c r="E177" s="16">
        <f t="shared" si="10"/>
        <v>727.10407263469619</v>
      </c>
      <c r="F177" s="16"/>
      <c r="G177" s="16">
        <f t="shared" si="11"/>
        <v>211279.48706377836</v>
      </c>
    </row>
    <row r="178" spans="2:7" x14ac:dyDescent="0.25">
      <c r="B178" s="10">
        <v>168</v>
      </c>
      <c r="C178" s="16">
        <f t="shared" si="12"/>
        <v>1610.4648690364172</v>
      </c>
      <c r="D178" s="16">
        <f t="shared" si="9"/>
        <v>880.33119609907646</v>
      </c>
      <c r="E178" s="16">
        <f t="shared" si="10"/>
        <v>730.13367293734075</v>
      </c>
      <c r="F178" s="16"/>
      <c r="G178" s="16">
        <f t="shared" si="11"/>
        <v>210549.35339084102</v>
      </c>
    </row>
    <row r="179" spans="2:7" x14ac:dyDescent="0.25">
      <c r="B179" s="10">
        <v>169</v>
      </c>
      <c r="C179" s="16">
        <f t="shared" si="12"/>
        <v>1610.4648690364172</v>
      </c>
      <c r="D179" s="16">
        <f t="shared" si="9"/>
        <v>877.2889724618376</v>
      </c>
      <c r="E179" s="16">
        <f t="shared" si="10"/>
        <v>733.17589657457961</v>
      </c>
      <c r="F179" s="16"/>
      <c r="G179" s="16">
        <f t="shared" si="11"/>
        <v>209816.17749426645</v>
      </c>
    </row>
    <row r="180" spans="2:7" x14ac:dyDescent="0.25">
      <c r="B180" s="10">
        <v>170</v>
      </c>
      <c r="C180" s="16">
        <f t="shared" si="12"/>
        <v>1610.4648690364172</v>
      </c>
      <c r="D180" s="16">
        <f t="shared" si="9"/>
        <v>874.23407289277691</v>
      </c>
      <c r="E180" s="16">
        <f t="shared" si="10"/>
        <v>736.2307961436403</v>
      </c>
      <c r="F180" s="16"/>
      <c r="G180" s="16">
        <f t="shared" si="11"/>
        <v>209079.9466981228</v>
      </c>
    </row>
    <row r="181" spans="2:7" x14ac:dyDescent="0.25">
      <c r="B181" s="10">
        <v>171</v>
      </c>
      <c r="C181" s="16">
        <f t="shared" si="12"/>
        <v>1610.4648690364172</v>
      </c>
      <c r="D181" s="16">
        <f t="shared" si="9"/>
        <v>871.16644457551172</v>
      </c>
      <c r="E181" s="16">
        <f t="shared" si="10"/>
        <v>739.29842446090549</v>
      </c>
      <c r="F181" s="16"/>
      <c r="G181" s="16">
        <f t="shared" si="11"/>
        <v>208340.64827366191</v>
      </c>
    </row>
    <row r="182" spans="2:7" x14ac:dyDescent="0.25">
      <c r="B182" s="10">
        <v>172</v>
      </c>
      <c r="C182" s="16">
        <f t="shared" si="12"/>
        <v>1610.4648690364172</v>
      </c>
      <c r="D182" s="16">
        <f t="shared" si="9"/>
        <v>868.08603447359121</v>
      </c>
      <c r="E182" s="16">
        <f t="shared" si="10"/>
        <v>742.378834562826</v>
      </c>
      <c r="F182" s="16"/>
      <c r="G182" s="16">
        <f t="shared" si="11"/>
        <v>207598.26943909909</v>
      </c>
    </row>
    <row r="183" spans="2:7" x14ac:dyDescent="0.25">
      <c r="B183" s="10">
        <v>173</v>
      </c>
      <c r="C183" s="16">
        <f t="shared" si="12"/>
        <v>1610.4648690364172</v>
      </c>
      <c r="D183" s="16">
        <f t="shared" si="9"/>
        <v>864.99278932957952</v>
      </c>
      <c r="E183" s="16">
        <f t="shared" si="10"/>
        <v>745.47207970683769</v>
      </c>
      <c r="F183" s="16"/>
      <c r="G183" s="16">
        <f t="shared" si="11"/>
        <v>206852.79735939225</v>
      </c>
    </row>
    <row r="184" spans="2:7" x14ac:dyDescent="0.25">
      <c r="B184" s="10">
        <v>174</v>
      </c>
      <c r="C184" s="16">
        <f t="shared" si="12"/>
        <v>1610.4648690364172</v>
      </c>
      <c r="D184" s="16">
        <f t="shared" si="9"/>
        <v>861.88665566413431</v>
      </c>
      <c r="E184" s="16">
        <f t="shared" si="10"/>
        <v>748.5782133722829</v>
      </c>
      <c r="F184" s="16"/>
      <c r="G184" s="16">
        <f t="shared" si="11"/>
        <v>206104.21914601995</v>
      </c>
    </row>
    <row r="185" spans="2:7" x14ac:dyDescent="0.25">
      <c r="B185" s="10">
        <v>175</v>
      </c>
      <c r="C185" s="16">
        <f t="shared" si="12"/>
        <v>1610.4648690364172</v>
      </c>
      <c r="D185" s="16">
        <f t="shared" si="9"/>
        <v>858.76757977508316</v>
      </c>
      <c r="E185" s="16">
        <f t="shared" si="10"/>
        <v>751.69728926133405</v>
      </c>
      <c r="F185" s="16"/>
      <c r="G185" s="16">
        <f t="shared" si="11"/>
        <v>205352.52185675863</v>
      </c>
    </row>
    <row r="186" spans="2:7" x14ac:dyDescent="0.25">
      <c r="B186" s="10">
        <v>176</v>
      </c>
      <c r="C186" s="16">
        <f t="shared" si="12"/>
        <v>1610.4648690364172</v>
      </c>
      <c r="D186" s="16">
        <f t="shared" si="9"/>
        <v>855.63550773649422</v>
      </c>
      <c r="E186" s="16">
        <f t="shared" si="10"/>
        <v>754.82936129992299</v>
      </c>
      <c r="F186" s="16"/>
      <c r="G186" s="16">
        <f t="shared" si="11"/>
        <v>204597.6924954587</v>
      </c>
    </row>
    <row r="187" spans="2:7" x14ac:dyDescent="0.25">
      <c r="B187" s="10">
        <v>177</v>
      </c>
      <c r="C187" s="16">
        <f t="shared" si="12"/>
        <v>1610.4648690364172</v>
      </c>
      <c r="D187" s="16">
        <f t="shared" si="9"/>
        <v>852.4903853977446</v>
      </c>
      <c r="E187" s="16">
        <f t="shared" si="10"/>
        <v>757.97448363867261</v>
      </c>
      <c r="F187" s="16"/>
      <c r="G187" s="16">
        <f t="shared" si="11"/>
        <v>203839.71801182002</v>
      </c>
    </row>
    <row r="188" spans="2:7" x14ac:dyDescent="0.25">
      <c r="B188" s="10">
        <v>178</v>
      </c>
      <c r="C188" s="16">
        <f t="shared" si="12"/>
        <v>1610.4648690364172</v>
      </c>
      <c r="D188" s="16">
        <f t="shared" si="9"/>
        <v>849.33215838258343</v>
      </c>
      <c r="E188" s="16">
        <f t="shared" si="10"/>
        <v>761.13271065383378</v>
      </c>
      <c r="F188" s="16"/>
      <c r="G188" s="16">
        <f t="shared" si="11"/>
        <v>203078.5853011662</v>
      </c>
    </row>
    <row r="189" spans="2:7" x14ac:dyDescent="0.25">
      <c r="B189" s="10">
        <v>179</v>
      </c>
      <c r="C189" s="16">
        <f t="shared" si="12"/>
        <v>1610.4648690364172</v>
      </c>
      <c r="D189" s="16">
        <f t="shared" si="9"/>
        <v>846.16077208819252</v>
      </c>
      <c r="E189" s="16">
        <f t="shared" si="10"/>
        <v>764.3040969482247</v>
      </c>
      <c r="F189" s="16"/>
      <c r="G189" s="16">
        <f t="shared" si="11"/>
        <v>202314.28120421796</v>
      </c>
    </row>
    <row r="190" spans="2:7" x14ac:dyDescent="0.25">
      <c r="B190" s="10">
        <v>180</v>
      </c>
      <c r="C190" s="16">
        <f t="shared" si="12"/>
        <v>1610.4648690364172</v>
      </c>
      <c r="D190" s="16">
        <f t="shared" si="9"/>
        <v>842.97617168424142</v>
      </c>
      <c r="E190" s="16">
        <f t="shared" si="10"/>
        <v>767.48869735217579</v>
      </c>
      <c r="F190" s="16"/>
      <c r="G190" s="16">
        <f t="shared" si="11"/>
        <v>201546.79250686578</v>
      </c>
    </row>
    <row r="191" spans="2:7" x14ac:dyDescent="0.25">
      <c r="B191" s="10">
        <v>181</v>
      </c>
      <c r="C191" s="16">
        <f t="shared" si="12"/>
        <v>1610.4648690364172</v>
      </c>
      <c r="D191" s="16">
        <f t="shared" si="9"/>
        <v>839.77830211194077</v>
      </c>
      <c r="E191" s="16">
        <f t="shared" si="10"/>
        <v>770.68656692447644</v>
      </c>
      <c r="F191" s="16"/>
      <c r="G191" s="16">
        <f t="shared" si="11"/>
        <v>200776.10593994131</v>
      </c>
    </row>
    <row r="192" spans="2:7" x14ac:dyDescent="0.25">
      <c r="B192" s="10">
        <v>182</v>
      </c>
      <c r="C192" s="16">
        <f t="shared" si="12"/>
        <v>1610.4648690364172</v>
      </c>
      <c r="D192" s="16">
        <f t="shared" si="9"/>
        <v>836.56710808308878</v>
      </c>
      <c r="E192" s="16">
        <f t="shared" si="10"/>
        <v>773.89776095332843</v>
      </c>
      <c r="F192" s="16"/>
      <c r="G192" s="16">
        <f t="shared" si="11"/>
        <v>200002.20817898799</v>
      </c>
    </row>
    <row r="193" spans="2:7" x14ac:dyDescent="0.25">
      <c r="B193" s="10">
        <v>183</v>
      </c>
      <c r="C193" s="16">
        <f t="shared" si="12"/>
        <v>1610.4648690364172</v>
      </c>
      <c r="D193" s="16">
        <f t="shared" si="9"/>
        <v>833.3425340791166</v>
      </c>
      <c r="E193" s="16">
        <f t="shared" si="10"/>
        <v>777.12233495730061</v>
      </c>
      <c r="F193" s="16"/>
      <c r="G193" s="16">
        <f t="shared" si="11"/>
        <v>199225.08584403069</v>
      </c>
    </row>
    <row r="194" spans="2:7" x14ac:dyDescent="0.25">
      <c r="B194" s="10">
        <v>184</v>
      </c>
      <c r="C194" s="16">
        <f t="shared" si="12"/>
        <v>1610.4648690364172</v>
      </c>
      <c r="D194" s="16">
        <f t="shared" si="9"/>
        <v>830.10452435012792</v>
      </c>
      <c r="E194" s="16">
        <f t="shared" si="10"/>
        <v>780.3603446862893</v>
      </c>
      <c r="F194" s="16"/>
      <c r="G194" s="16">
        <f t="shared" si="11"/>
        <v>198444.72549934441</v>
      </c>
    </row>
    <row r="195" spans="2:7" x14ac:dyDescent="0.25">
      <c r="B195" s="10">
        <v>185</v>
      </c>
      <c r="C195" s="16">
        <f t="shared" si="12"/>
        <v>1610.4648690364172</v>
      </c>
      <c r="D195" s="16">
        <f t="shared" si="9"/>
        <v>826.85302291393498</v>
      </c>
      <c r="E195" s="16">
        <f t="shared" si="10"/>
        <v>783.61184612248223</v>
      </c>
      <c r="F195" s="16"/>
      <c r="G195" s="16">
        <f t="shared" si="11"/>
        <v>197661.11365322192</v>
      </c>
    </row>
    <row r="196" spans="2:7" x14ac:dyDescent="0.25">
      <c r="B196" s="10">
        <v>186</v>
      </c>
      <c r="C196" s="16">
        <f t="shared" si="12"/>
        <v>1610.4648690364172</v>
      </c>
      <c r="D196" s="16">
        <f t="shared" si="9"/>
        <v>823.58797355509137</v>
      </c>
      <c r="E196" s="16">
        <f t="shared" si="10"/>
        <v>786.87689548132585</v>
      </c>
      <c r="F196" s="16"/>
      <c r="G196" s="16">
        <f t="shared" si="11"/>
        <v>196874.23675774061</v>
      </c>
    </row>
    <row r="197" spans="2:7" x14ac:dyDescent="0.25">
      <c r="B197" s="10">
        <v>187</v>
      </c>
      <c r="C197" s="16">
        <f t="shared" si="12"/>
        <v>1610.4648690364172</v>
      </c>
      <c r="D197" s="16">
        <f t="shared" si="9"/>
        <v>820.30931982391917</v>
      </c>
      <c r="E197" s="16">
        <f t="shared" si="10"/>
        <v>790.15554921249804</v>
      </c>
      <c r="F197" s="16"/>
      <c r="G197" s="16">
        <f t="shared" si="11"/>
        <v>196084.08120852811</v>
      </c>
    </row>
    <row r="198" spans="2:7" x14ac:dyDescent="0.25">
      <c r="B198" s="10">
        <v>188</v>
      </c>
      <c r="C198" s="16">
        <f t="shared" si="12"/>
        <v>1610.4648690364172</v>
      </c>
      <c r="D198" s="16">
        <f t="shared" si="9"/>
        <v>817.01700503553377</v>
      </c>
      <c r="E198" s="16">
        <f t="shared" si="10"/>
        <v>793.44786400088344</v>
      </c>
      <c r="F198" s="16"/>
      <c r="G198" s="16">
        <f t="shared" si="11"/>
        <v>195290.63334452722</v>
      </c>
    </row>
    <row r="199" spans="2:7" x14ac:dyDescent="0.25">
      <c r="B199" s="10">
        <v>189</v>
      </c>
      <c r="C199" s="16">
        <f t="shared" si="12"/>
        <v>1610.4648690364172</v>
      </c>
      <c r="D199" s="16">
        <f t="shared" si="9"/>
        <v>813.71097226886343</v>
      </c>
      <c r="E199" s="16">
        <f t="shared" si="10"/>
        <v>796.75389676755378</v>
      </c>
      <c r="F199" s="16"/>
      <c r="G199" s="16">
        <f t="shared" si="11"/>
        <v>194493.87944775965</v>
      </c>
    </row>
    <row r="200" spans="2:7" x14ac:dyDescent="0.25">
      <c r="B200" s="10">
        <v>190</v>
      </c>
      <c r="C200" s="16">
        <f t="shared" si="12"/>
        <v>1610.4648690364172</v>
      </c>
      <c r="D200" s="16">
        <f t="shared" si="9"/>
        <v>810.39116436566519</v>
      </c>
      <c r="E200" s="16">
        <f t="shared" si="10"/>
        <v>800.07370467075202</v>
      </c>
      <c r="F200" s="16"/>
      <c r="G200" s="16">
        <f t="shared" si="11"/>
        <v>193693.80574308889</v>
      </c>
    </row>
    <row r="201" spans="2:7" x14ac:dyDescent="0.25">
      <c r="B201" s="10">
        <v>191</v>
      </c>
      <c r="C201" s="16">
        <f t="shared" si="12"/>
        <v>1610.4648690364172</v>
      </c>
      <c r="D201" s="16">
        <f t="shared" si="9"/>
        <v>807.05752392953707</v>
      </c>
      <c r="E201" s="16">
        <f t="shared" si="10"/>
        <v>803.40734510688014</v>
      </c>
      <c r="F201" s="16"/>
      <c r="G201" s="16">
        <f t="shared" si="11"/>
        <v>192890.398397982</v>
      </c>
    </row>
    <row r="202" spans="2:7" x14ac:dyDescent="0.25">
      <c r="B202" s="10">
        <v>192</v>
      </c>
      <c r="C202" s="16">
        <f t="shared" si="12"/>
        <v>1610.4648690364172</v>
      </c>
      <c r="D202" s="16">
        <f t="shared" si="9"/>
        <v>803.70999332492499</v>
      </c>
      <c r="E202" s="16">
        <f t="shared" si="10"/>
        <v>806.75487571149222</v>
      </c>
      <c r="F202" s="16"/>
      <c r="G202" s="16">
        <f t="shared" si="11"/>
        <v>192083.64352227052</v>
      </c>
    </row>
    <row r="203" spans="2:7" x14ac:dyDescent="0.25">
      <c r="B203" s="10">
        <v>193</v>
      </c>
      <c r="C203" s="16">
        <f t="shared" si="12"/>
        <v>1610.4648690364172</v>
      </c>
      <c r="D203" s="16">
        <f t="shared" si="9"/>
        <v>800.34851467612714</v>
      </c>
      <c r="E203" s="16">
        <f t="shared" si="10"/>
        <v>810.11635436029007</v>
      </c>
      <c r="F203" s="16"/>
      <c r="G203" s="16">
        <f t="shared" si="11"/>
        <v>191273.52716791022</v>
      </c>
    </row>
    <row r="204" spans="2:7" x14ac:dyDescent="0.25">
      <c r="B204" s="10">
        <v>194</v>
      </c>
      <c r="C204" s="16">
        <f t="shared" si="12"/>
        <v>1610.4648690364172</v>
      </c>
      <c r="D204" s="16">
        <f t="shared" ref="D204:D267" si="13">G203*$C$4</f>
        <v>796.97302986629256</v>
      </c>
      <c r="E204" s="16">
        <f t="shared" ref="E204:E267" si="14">C204-D204</f>
        <v>813.49183917012465</v>
      </c>
      <c r="F204" s="16"/>
      <c r="G204" s="16">
        <f t="shared" ref="G204:G267" si="15">G203-F204-E204</f>
        <v>190460.03532874008</v>
      </c>
    </row>
    <row r="205" spans="2:7" x14ac:dyDescent="0.25">
      <c r="B205" s="10">
        <v>195</v>
      </c>
      <c r="C205" s="16">
        <f t="shared" si="12"/>
        <v>1610.4648690364172</v>
      </c>
      <c r="D205" s="16">
        <f t="shared" si="13"/>
        <v>793.58348053641703</v>
      </c>
      <c r="E205" s="16">
        <f t="shared" si="14"/>
        <v>816.88138850000018</v>
      </c>
      <c r="F205" s="16"/>
      <c r="G205" s="16">
        <f t="shared" si="15"/>
        <v>189643.15394024007</v>
      </c>
    </row>
    <row r="206" spans="2:7" x14ac:dyDescent="0.25">
      <c r="B206" s="10">
        <v>196</v>
      </c>
      <c r="C206" s="16">
        <f t="shared" si="12"/>
        <v>1610.4648690364172</v>
      </c>
      <c r="D206" s="16">
        <f t="shared" si="13"/>
        <v>790.17980808433356</v>
      </c>
      <c r="E206" s="16">
        <f t="shared" si="14"/>
        <v>820.28506095208365</v>
      </c>
      <c r="F206" s="16"/>
      <c r="G206" s="16">
        <f t="shared" si="15"/>
        <v>188822.86887928797</v>
      </c>
    </row>
    <row r="207" spans="2:7" x14ac:dyDescent="0.25">
      <c r="B207" s="10">
        <v>197</v>
      </c>
      <c r="C207" s="16">
        <f t="shared" si="12"/>
        <v>1610.4648690364172</v>
      </c>
      <c r="D207" s="16">
        <f t="shared" si="13"/>
        <v>786.76195366369984</v>
      </c>
      <c r="E207" s="16">
        <f t="shared" si="14"/>
        <v>823.70291537271737</v>
      </c>
      <c r="F207" s="16"/>
      <c r="G207" s="16">
        <f t="shared" si="15"/>
        <v>187999.16596391526</v>
      </c>
    </row>
    <row r="208" spans="2:7" x14ac:dyDescent="0.25">
      <c r="B208" s="10">
        <v>198</v>
      </c>
      <c r="C208" s="16">
        <f t="shared" si="12"/>
        <v>1610.4648690364172</v>
      </c>
      <c r="D208" s="16">
        <f t="shared" si="13"/>
        <v>783.32985818298027</v>
      </c>
      <c r="E208" s="16">
        <f t="shared" si="14"/>
        <v>827.13501085343694</v>
      </c>
      <c r="F208" s="16"/>
      <c r="G208" s="16">
        <f t="shared" si="15"/>
        <v>187172.03095306183</v>
      </c>
    </row>
    <row r="209" spans="2:7" x14ac:dyDescent="0.25">
      <c r="B209" s="10">
        <v>199</v>
      </c>
      <c r="C209" s="16">
        <f t="shared" si="12"/>
        <v>1610.4648690364172</v>
      </c>
      <c r="D209" s="16">
        <f t="shared" si="13"/>
        <v>779.88346230442426</v>
      </c>
      <c r="E209" s="16">
        <f t="shared" si="14"/>
        <v>830.58140673199296</v>
      </c>
      <c r="F209" s="16"/>
      <c r="G209" s="16">
        <f t="shared" si="15"/>
        <v>186341.44954632982</v>
      </c>
    </row>
    <row r="210" spans="2:7" x14ac:dyDescent="0.25">
      <c r="B210" s="10">
        <v>200</v>
      </c>
      <c r="C210" s="16">
        <f t="shared" si="12"/>
        <v>1610.4648690364172</v>
      </c>
      <c r="D210" s="16">
        <f t="shared" si="13"/>
        <v>776.42270644304097</v>
      </c>
      <c r="E210" s="16">
        <f t="shared" si="14"/>
        <v>834.04216259337625</v>
      </c>
      <c r="F210" s="16"/>
      <c r="G210" s="16">
        <f t="shared" si="15"/>
        <v>185507.40738373646</v>
      </c>
    </row>
    <row r="211" spans="2:7" x14ac:dyDescent="0.25">
      <c r="B211" s="10">
        <v>201</v>
      </c>
      <c r="C211" s="16">
        <f t="shared" si="12"/>
        <v>1610.4648690364172</v>
      </c>
      <c r="D211" s="16">
        <f t="shared" si="13"/>
        <v>772.94753076556856</v>
      </c>
      <c r="E211" s="16">
        <f t="shared" si="14"/>
        <v>837.51733827084865</v>
      </c>
      <c r="F211" s="16"/>
      <c r="G211" s="16">
        <f t="shared" si="15"/>
        <v>184669.89004546561</v>
      </c>
    </row>
    <row r="212" spans="2:7" x14ac:dyDescent="0.25">
      <c r="B212" s="10">
        <v>202</v>
      </c>
      <c r="C212" s="16">
        <f t="shared" si="12"/>
        <v>1610.4648690364172</v>
      </c>
      <c r="D212" s="16">
        <f t="shared" si="13"/>
        <v>769.45787518944007</v>
      </c>
      <c r="E212" s="16">
        <f t="shared" si="14"/>
        <v>841.00699384697714</v>
      </c>
      <c r="F212" s="16"/>
      <c r="G212" s="16">
        <f t="shared" si="15"/>
        <v>183828.88305161864</v>
      </c>
    </row>
    <row r="213" spans="2:7" x14ac:dyDescent="0.25">
      <c r="B213" s="10">
        <v>203</v>
      </c>
      <c r="C213" s="16">
        <f t="shared" si="12"/>
        <v>1610.4648690364172</v>
      </c>
      <c r="D213" s="16">
        <f t="shared" si="13"/>
        <v>765.95367938174434</v>
      </c>
      <c r="E213" s="16">
        <f t="shared" si="14"/>
        <v>844.51118965467288</v>
      </c>
      <c r="F213" s="16"/>
      <c r="G213" s="16">
        <f t="shared" si="15"/>
        <v>182984.37186196397</v>
      </c>
    </row>
    <row r="214" spans="2:7" x14ac:dyDescent="0.25">
      <c r="B214" s="10">
        <v>204</v>
      </c>
      <c r="C214" s="16">
        <f t="shared" si="12"/>
        <v>1610.4648690364172</v>
      </c>
      <c r="D214" s="16">
        <f t="shared" si="13"/>
        <v>762.43488275818322</v>
      </c>
      <c r="E214" s="16">
        <f t="shared" si="14"/>
        <v>848.02998627823399</v>
      </c>
      <c r="F214" s="16"/>
      <c r="G214" s="16">
        <f t="shared" si="15"/>
        <v>182136.34187568573</v>
      </c>
    </row>
    <row r="215" spans="2:7" x14ac:dyDescent="0.25">
      <c r="B215" s="10">
        <v>205</v>
      </c>
      <c r="C215" s="16">
        <f t="shared" si="12"/>
        <v>1610.4648690364172</v>
      </c>
      <c r="D215" s="16">
        <f t="shared" si="13"/>
        <v>758.90142448202391</v>
      </c>
      <c r="E215" s="16">
        <f t="shared" si="14"/>
        <v>851.5634445543933</v>
      </c>
      <c r="F215" s="16"/>
      <c r="G215" s="16">
        <f t="shared" si="15"/>
        <v>181284.77843113133</v>
      </c>
    </row>
    <row r="216" spans="2:7" x14ac:dyDescent="0.25">
      <c r="B216" s="10">
        <v>206</v>
      </c>
      <c r="C216" s="16">
        <f t="shared" si="12"/>
        <v>1610.4648690364172</v>
      </c>
      <c r="D216" s="16">
        <f t="shared" si="13"/>
        <v>755.35324346304719</v>
      </c>
      <c r="E216" s="16">
        <f t="shared" si="14"/>
        <v>855.11162557337002</v>
      </c>
      <c r="F216" s="16"/>
      <c r="G216" s="16">
        <f t="shared" si="15"/>
        <v>180429.66680555796</v>
      </c>
    </row>
    <row r="217" spans="2:7" x14ac:dyDescent="0.25">
      <c r="B217" s="10">
        <v>207</v>
      </c>
      <c r="C217" s="16">
        <f t="shared" si="12"/>
        <v>1610.4648690364172</v>
      </c>
      <c r="D217" s="16">
        <f t="shared" si="13"/>
        <v>751.79027835649151</v>
      </c>
      <c r="E217" s="16">
        <f t="shared" si="14"/>
        <v>858.6745906799257</v>
      </c>
      <c r="F217" s="16"/>
      <c r="G217" s="16">
        <f t="shared" si="15"/>
        <v>179570.99221487803</v>
      </c>
    </row>
    <row r="218" spans="2:7" x14ac:dyDescent="0.25">
      <c r="B218" s="10">
        <v>208</v>
      </c>
      <c r="C218" s="16">
        <f t="shared" ref="C218:C281" si="16">IF(G217&lt;$C$7,G217*(1+$C$4),$C$7)</f>
        <v>1610.4648690364172</v>
      </c>
      <c r="D218" s="16">
        <f t="shared" si="13"/>
        <v>748.21246756199184</v>
      </c>
      <c r="E218" s="16">
        <f t="shared" si="14"/>
        <v>862.25240147442537</v>
      </c>
      <c r="F218" s="16"/>
      <c r="G218" s="16">
        <f t="shared" si="15"/>
        <v>178708.7398134036</v>
      </c>
    </row>
    <row r="219" spans="2:7" x14ac:dyDescent="0.25">
      <c r="B219" s="10">
        <v>209</v>
      </c>
      <c r="C219" s="16">
        <f t="shared" si="16"/>
        <v>1610.4648690364172</v>
      </c>
      <c r="D219" s="16">
        <f t="shared" si="13"/>
        <v>744.619749222515</v>
      </c>
      <c r="E219" s="16">
        <f t="shared" si="14"/>
        <v>865.84511981390222</v>
      </c>
      <c r="F219" s="16"/>
      <c r="G219" s="16">
        <f t="shared" si="15"/>
        <v>177842.89469358971</v>
      </c>
    </row>
    <row r="220" spans="2:7" x14ac:dyDescent="0.25">
      <c r="B220" s="10">
        <v>210</v>
      </c>
      <c r="C220" s="16">
        <f t="shared" si="16"/>
        <v>1610.4648690364172</v>
      </c>
      <c r="D220" s="16">
        <f t="shared" si="13"/>
        <v>741.0120612232904</v>
      </c>
      <c r="E220" s="16">
        <f t="shared" si="14"/>
        <v>869.45280781312681</v>
      </c>
      <c r="F220" s="16"/>
      <c r="G220" s="16">
        <f t="shared" si="15"/>
        <v>176973.44188577658</v>
      </c>
    </row>
    <row r="221" spans="2:7" x14ac:dyDescent="0.25">
      <c r="B221" s="10">
        <v>211</v>
      </c>
      <c r="C221" s="16">
        <f t="shared" si="16"/>
        <v>1610.4648690364172</v>
      </c>
      <c r="D221" s="16">
        <f t="shared" si="13"/>
        <v>737.38934119073576</v>
      </c>
      <c r="E221" s="16">
        <f t="shared" si="14"/>
        <v>873.07552784568145</v>
      </c>
      <c r="F221" s="16"/>
      <c r="G221" s="16">
        <f t="shared" si="15"/>
        <v>176100.36635793091</v>
      </c>
    </row>
    <row r="222" spans="2:7" x14ac:dyDescent="0.25">
      <c r="B222" s="10">
        <v>212</v>
      </c>
      <c r="C222" s="16">
        <f t="shared" si="16"/>
        <v>1610.4648690364172</v>
      </c>
      <c r="D222" s="16">
        <f t="shared" si="13"/>
        <v>733.75152649137874</v>
      </c>
      <c r="E222" s="16">
        <f t="shared" si="14"/>
        <v>876.71334254503847</v>
      </c>
      <c r="F222" s="16"/>
      <c r="G222" s="16">
        <f t="shared" si="15"/>
        <v>175223.65301538588</v>
      </c>
    </row>
    <row r="223" spans="2:7" x14ac:dyDescent="0.25">
      <c r="B223" s="10">
        <v>213</v>
      </c>
      <c r="C223" s="16">
        <f t="shared" si="16"/>
        <v>1610.4648690364172</v>
      </c>
      <c r="D223" s="16">
        <f t="shared" si="13"/>
        <v>730.09855423077443</v>
      </c>
      <c r="E223" s="16">
        <f t="shared" si="14"/>
        <v>880.36631480564279</v>
      </c>
      <c r="F223" s="16"/>
      <c r="G223" s="16">
        <f t="shared" si="15"/>
        <v>174343.28670058024</v>
      </c>
    </row>
    <row r="224" spans="2:7" x14ac:dyDescent="0.25">
      <c r="B224" s="10">
        <v>214</v>
      </c>
      <c r="C224" s="16">
        <f t="shared" si="16"/>
        <v>1610.4648690364172</v>
      </c>
      <c r="D224" s="16">
        <f t="shared" si="13"/>
        <v>726.4303612524177</v>
      </c>
      <c r="E224" s="16">
        <f t="shared" si="14"/>
        <v>884.03450778399952</v>
      </c>
      <c r="F224" s="16"/>
      <c r="G224" s="16">
        <f t="shared" si="15"/>
        <v>173459.25219279624</v>
      </c>
    </row>
    <row r="225" spans="2:7" x14ac:dyDescent="0.25">
      <c r="B225" s="10">
        <v>215</v>
      </c>
      <c r="C225" s="16">
        <f t="shared" si="16"/>
        <v>1610.4648690364172</v>
      </c>
      <c r="D225" s="16">
        <f t="shared" si="13"/>
        <v>722.74688413665103</v>
      </c>
      <c r="E225" s="16">
        <f t="shared" si="14"/>
        <v>887.71798489976618</v>
      </c>
      <c r="F225" s="16"/>
      <c r="G225" s="16">
        <f t="shared" si="15"/>
        <v>172571.53420789647</v>
      </c>
    </row>
    <row r="226" spans="2:7" x14ac:dyDescent="0.25">
      <c r="B226" s="10">
        <v>216</v>
      </c>
      <c r="C226" s="16">
        <f t="shared" si="16"/>
        <v>1610.4648690364172</v>
      </c>
      <c r="D226" s="16">
        <f t="shared" si="13"/>
        <v>719.04805919956868</v>
      </c>
      <c r="E226" s="16">
        <f t="shared" si="14"/>
        <v>891.41680983684853</v>
      </c>
      <c r="F226" s="16"/>
      <c r="G226" s="16">
        <f t="shared" si="15"/>
        <v>171680.11739805964</v>
      </c>
    </row>
    <row r="227" spans="2:7" x14ac:dyDescent="0.25">
      <c r="B227" s="10">
        <v>217</v>
      </c>
      <c r="C227" s="16">
        <f t="shared" si="16"/>
        <v>1610.4648690364172</v>
      </c>
      <c r="D227" s="16">
        <f t="shared" si="13"/>
        <v>715.33382249191516</v>
      </c>
      <c r="E227" s="16">
        <f t="shared" si="14"/>
        <v>895.13104654450206</v>
      </c>
      <c r="F227" s="16"/>
      <c r="G227" s="16">
        <f t="shared" si="15"/>
        <v>170784.98635151514</v>
      </c>
    </row>
    <row r="228" spans="2:7" x14ac:dyDescent="0.25">
      <c r="B228" s="10">
        <v>218</v>
      </c>
      <c r="C228" s="16">
        <f t="shared" si="16"/>
        <v>1610.4648690364172</v>
      </c>
      <c r="D228" s="16">
        <f t="shared" si="13"/>
        <v>711.60410979797973</v>
      </c>
      <c r="E228" s="16">
        <f t="shared" si="14"/>
        <v>898.86075923843748</v>
      </c>
      <c r="F228" s="16"/>
      <c r="G228" s="16">
        <f t="shared" si="15"/>
        <v>169886.12559227669</v>
      </c>
    </row>
    <row r="229" spans="2:7" x14ac:dyDescent="0.25">
      <c r="B229" s="10">
        <v>219</v>
      </c>
      <c r="C229" s="16">
        <f t="shared" si="16"/>
        <v>1610.4648690364172</v>
      </c>
      <c r="D229" s="16">
        <f t="shared" si="13"/>
        <v>707.85885663448619</v>
      </c>
      <c r="E229" s="16">
        <f t="shared" si="14"/>
        <v>902.60601240193103</v>
      </c>
      <c r="F229" s="16"/>
      <c r="G229" s="16">
        <f t="shared" si="15"/>
        <v>168983.51957987476</v>
      </c>
    </row>
    <row r="230" spans="2:7" x14ac:dyDescent="0.25">
      <c r="B230" s="10">
        <v>220</v>
      </c>
      <c r="C230" s="16">
        <f t="shared" si="16"/>
        <v>1610.4648690364172</v>
      </c>
      <c r="D230" s="16">
        <f t="shared" si="13"/>
        <v>704.09799824947811</v>
      </c>
      <c r="E230" s="16">
        <f t="shared" si="14"/>
        <v>906.3668707869391</v>
      </c>
      <c r="F230" s="16"/>
      <c r="G230" s="16">
        <f t="shared" si="15"/>
        <v>168077.15270908782</v>
      </c>
    </row>
    <row r="231" spans="2:7" x14ac:dyDescent="0.25">
      <c r="B231" s="10">
        <v>221</v>
      </c>
      <c r="C231" s="16">
        <f t="shared" si="16"/>
        <v>1610.4648690364172</v>
      </c>
      <c r="D231" s="16">
        <f t="shared" si="13"/>
        <v>700.3214696211993</v>
      </c>
      <c r="E231" s="16">
        <f t="shared" si="14"/>
        <v>910.14339941521791</v>
      </c>
      <c r="F231" s="16"/>
      <c r="G231" s="16">
        <f t="shared" si="15"/>
        <v>167167.00930967261</v>
      </c>
    </row>
    <row r="232" spans="2:7" x14ac:dyDescent="0.25">
      <c r="B232" s="10">
        <v>222</v>
      </c>
      <c r="C232" s="16">
        <f t="shared" si="16"/>
        <v>1610.4648690364172</v>
      </c>
      <c r="D232" s="16">
        <f t="shared" si="13"/>
        <v>696.52920545696918</v>
      </c>
      <c r="E232" s="16">
        <f t="shared" si="14"/>
        <v>913.93566357944803</v>
      </c>
      <c r="F232" s="16"/>
      <c r="G232" s="16">
        <f t="shared" si="15"/>
        <v>166253.07364609317</v>
      </c>
    </row>
    <row r="233" spans="2:7" x14ac:dyDescent="0.25">
      <c r="B233" s="10">
        <v>223</v>
      </c>
      <c r="C233" s="16">
        <f t="shared" si="16"/>
        <v>1610.4648690364172</v>
      </c>
      <c r="D233" s="16">
        <f t="shared" si="13"/>
        <v>692.7211401920548</v>
      </c>
      <c r="E233" s="16">
        <f t="shared" si="14"/>
        <v>917.74372884436241</v>
      </c>
      <c r="F233" s="16"/>
      <c r="G233" s="16">
        <f t="shared" si="15"/>
        <v>165335.3299172488</v>
      </c>
    </row>
    <row r="234" spans="2:7" x14ac:dyDescent="0.25">
      <c r="B234" s="10">
        <v>224</v>
      </c>
      <c r="C234" s="16">
        <f t="shared" si="16"/>
        <v>1610.4648690364172</v>
      </c>
      <c r="D234" s="16">
        <f t="shared" si="13"/>
        <v>688.89720798853671</v>
      </c>
      <c r="E234" s="16">
        <f t="shared" si="14"/>
        <v>921.56766104788051</v>
      </c>
      <c r="F234" s="16"/>
      <c r="G234" s="16">
        <f t="shared" si="15"/>
        <v>164413.76225620092</v>
      </c>
    </row>
    <row r="235" spans="2:7" x14ac:dyDescent="0.25">
      <c r="B235" s="10">
        <v>225</v>
      </c>
      <c r="C235" s="16">
        <f t="shared" si="16"/>
        <v>1610.4648690364172</v>
      </c>
      <c r="D235" s="16">
        <f t="shared" si="13"/>
        <v>685.05734273417045</v>
      </c>
      <c r="E235" s="16">
        <f t="shared" si="14"/>
        <v>925.40752630224677</v>
      </c>
      <c r="F235" s="16"/>
      <c r="G235" s="16">
        <f t="shared" si="15"/>
        <v>163488.35472989868</v>
      </c>
    </row>
    <row r="236" spans="2:7" x14ac:dyDescent="0.25">
      <c r="B236" s="10">
        <v>226</v>
      </c>
      <c r="C236" s="16">
        <f t="shared" si="16"/>
        <v>1610.4648690364172</v>
      </c>
      <c r="D236" s="16">
        <f t="shared" si="13"/>
        <v>681.20147804124451</v>
      </c>
      <c r="E236" s="16">
        <f t="shared" si="14"/>
        <v>929.2633909951727</v>
      </c>
      <c r="F236" s="16"/>
      <c r="G236" s="16">
        <f t="shared" si="15"/>
        <v>162559.0913389035</v>
      </c>
    </row>
    <row r="237" spans="2:7" x14ac:dyDescent="0.25">
      <c r="B237" s="10">
        <v>227</v>
      </c>
      <c r="C237" s="16">
        <f t="shared" si="16"/>
        <v>1610.4648690364172</v>
      </c>
      <c r="D237" s="16">
        <f t="shared" si="13"/>
        <v>677.32954724543129</v>
      </c>
      <c r="E237" s="16">
        <f t="shared" si="14"/>
        <v>933.13532179098593</v>
      </c>
      <c r="F237" s="16"/>
      <c r="G237" s="16">
        <f t="shared" si="15"/>
        <v>161625.9560171125</v>
      </c>
    </row>
    <row r="238" spans="2:7" x14ac:dyDescent="0.25">
      <c r="B238" s="10">
        <v>228</v>
      </c>
      <c r="C238" s="16">
        <f t="shared" si="16"/>
        <v>1610.4648690364172</v>
      </c>
      <c r="D238" s="16">
        <f t="shared" si="13"/>
        <v>673.44148340463539</v>
      </c>
      <c r="E238" s="16">
        <f t="shared" si="14"/>
        <v>937.02338563178182</v>
      </c>
      <c r="F238" s="16"/>
      <c r="G238" s="16">
        <f t="shared" si="15"/>
        <v>160688.93263148071</v>
      </c>
    </row>
    <row r="239" spans="2:7" x14ac:dyDescent="0.25">
      <c r="B239" s="10">
        <v>229</v>
      </c>
      <c r="C239" s="16">
        <f t="shared" si="16"/>
        <v>1610.4648690364172</v>
      </c>
      <c r="D239" s="16">
        <f t="shared" si="13"/>
        <v>669.53721929783626</v>
      </c>
      <c r="E239" s="16">
        <f t="shared" si="14"/>
        <v>940.92764973858095</v>
      </c>
      <c r="F239" s="16"/>
      <c r="G239" s="16">
        <f t="shared" si="15"/>
        <v>159748.00498174212</v>
      </c>
    </row>
    <row r="240" spans="2:7" x14ac:dyDescent="0.25">
      <c r="B240" s="10">
        <v>230</v>
      </c>
      <c r="C240" s="16">
        <f t="shared" si="16"/>
        <v>1610.4648690364172</v>
      </c>
      <c r="D240" s="16">
        <f t="shared" si="13"/>
        <v>665.61668742392555</v>
      </c>
      <c r="E240" s="16">
        <f t="shared" si="14"/>
        <v>944.84818161249166</v>
      </c>
      <c r="F240" s="16"/>
      <c r="G240" s="16">
        <f t="shared" si="15"/>
        <v>158803.15680012963</v>
      </c>
    </row>
    <row r="241" spans="2:7" x14ac:dyDescent="0.25">
      <c r="B241" s="10">
        <v>231</v>
      </c>
      <c r="C241" s="16">
        <f t="shared" si="16"/>
        <v>1610.4648690364172</v>
      </c>
      <c r="D241" s="16">
        <f t="shared" si="13"/>
        <v>661.67982000054008</v>
      </c>
      <c r="E241" s="16">
        <f t="shared" si="14"/>
        <v>948.78504903587714</v>
      </c>
      <c r="F241" s="16"/>
      <c r="G241" s="16">
        <f t="shared" si="15"/>
        <v>157854.37175109374</v>
      </c>
    </row>
    <row r="242" spans="2:7" x14ac:dyDescent="0.25">
      <c r="B242" s="10">
        <v>232</v>
      </c>
      <c r="C242" s="16">
        <f t="shared" si="16"/>
        <v>1610.4648690364172</v>
      </c>
      <c r="D242" s="16">
        <f t="shared" si="13"/>
        <v>657.72654896289055</v>
      </c>
      <c r="E242" s="16">
        <f t="shared" si="14"/>
        <v>952.73832007352667</v>
      </c>
      <c r="F242" s="16"/>
      <c r="G242" s="16">
        <f t="shared" si="15"/>
        <v>156901.63343102022</v>
      </c>
    </row>
    <row r="243" spans="2:7" x14ac:dyDescent="0.25">
      <c r="B243" s="10">
        <v>233</v>
      </c>
      <c r="C243" s="16">
        <f t="shared" si="16"/>
        <v>1610.4648690364172</v>
      </c>
      <c r="D243" s="16">
        <f t="shared" si="13"/>
        <v>653.75680596258428</v>
      </c>
      <c r="E243" s="16">
        <f t="shared" si="14"/>
        <v>956.70806307383293</v>
      </c>
      <c r="F243" s="16"/>
      <c r="G243" s="16">
        <f t="shared" si="15"/>
        <v>155944.92536794639</v>
      </c>
    </row>
    <row r="244" spans="2:7" x14ac:dyDescent="0.25">
      <c r="B244" s="10">
        <v>234</v>
      </c>
      <c r="C244" s="16">
        <f t="shared" si="16"/>
        <v>1610.4648690364172</v>
      </c>
      <c r="D244" s="16">
        <f t="shared" si="13"/>
        <v>649.77052236644329</v>
      </c>
      <c r="E244" s="16">
        <f t="shared" si="14"/>
        <v>960.69434666997392</v>
      </c>
      <c r="F244" s="16"/>
      <c r="G244" s="16">
        <f t="shared" si="15"/>
        <v>154984.23102127641</v>
      </c>
    </row>
    <row r="245" spans="2:7" x14ac:dyDescent="0.25">
      <c r="B245" s="10">
        <v>235</v>
      </c>
      <c r="C245" s="16">
        <f t="shared" si="16"/>
        <v>1610.4648690364172</v>
      </c>
      <c r="D245" s="16">
        <f t="shared" si="13"/>
        <v>645.76762925531841</v>
      </c>
      <c r="E245" s="16">
        <f t="shared" si="14"/>
        <v>964.6972397810988</v>
      </c>
      <c r="F245" s="16"/>
      <c r="G245" s="16">
        <f t="shared" si="15"/>
        <v>154019.53378149532</v>
      </c>
    </row>
    <row r="246" spans="2:7" x14ac:dyDescent="0.25">
      <c r="B246" s="10">
        <v>236</v>
      </c>
      <c r="C246" s="16">
        <f t="shared" si="16"/>
        <v>1610.4648690364172</v>
      </c>
      <c r="D246" s="16">
        <f t="shared" si="13"/>
        <v>641.7480574228972</v>
      </c>
      <c r="E246" s="16">
        <f t="shared" si="14"/>
        <v>968.71681161352001</v>
      </c>
      <c r="F246" s="16"/>
      <c r="G246" s="16">
        <f t="shared" si="15"/>
        <v>153050.81696988179</v>
      </c>
    </row>
    <row r="247" spans="2:7" x14ac:dyDescent="0.25">
      <c r="B247" s="10">
        <v>237</v>
      </c>
      <c r="C247" s="16">
        <f t="shared" si="16"/>
        <v>1610.4648690364172</v>
      </c>
      <c r="D247" s="16">
        <f t="shared" si="13"/>
        <v>637.71173737450749</v>
      </c>
      <c r="E247" s="16">
        <f t="shared" si="14"/>
        <v>972.75313166190972</v>
      </c>
      <c r="F247" s="16"/>
      <c r="G247" s="16">
        <f t="shared" si="15"/>
        <v>152078.06383821988</v>
      </c>
    </row>
    <row r="248" spans="2:7" x14ac:dyDescent="0.25">
      <c r="B248" s="10">
        <v>238</v>
      </c>
      <c r="C248" s="16">
        <f t="shared" si="16"/>
        <v>1610.4648690364172</v>
      </c>
      <c r="D248" s="16">
        <f t="shared" si="13"/>
        <v>633.65859932591616</v>
      </c>
      <c r="E248" s="16">
        <f t="shared" si="14"/>
        <v>976.80626971050106</v>
      </c>
      <c r="F248" s="16"/>
      <c r="G248" s="16">
        <f t="shared" si="15"/>
        <v>151101.25756850938</v>
      </c>
    </row>
    <row r="249" spans="2:7" x14ac:dyDescent="0.25">
      <c r="B249" s="10">
        <v>239</v>
      </c>
      <c r="C249" s="16">
        <f t="shared" si="16"/>
        <v>1610.4648690364172</v>
      </c>
      <c r="D249" s="16">
        <f t="shared" si="13"/>
        <v>629.58857320212235</v>
      </c>
      <c r="E249" s="16">
        <f t="shared" si="14"/>
        <v>980.87629583429487</v>
      </c>
      <c r="F249" s="16"/>
      <c r="G249" s="16">
        <f t="shared" si="15"/>
        <v>150120.38127267509</v>
      </c>
    </row>
    <row r="250" spans="2:7" x14ac:dyDescent="0.25">
      <c r="B250" s="10">
        <v>240</v>
      </c>
      <c r="C250" s="16">
        <f t="shared" si="16"/>
        <v>1610.4648690364172</v>
      </c>
      <c r="D250" s="16">
        <f t="shared" si="13"/>
        <v>625.50158863614615</v>
      </c>
      <c r="E250" s="16">
        <f t="shared" si="14"/>
        <v>984.96328040027106</v>
      </c>
      <c r="F250" s="16"/>
      <c r="G250" s="16">
        <f t="shared" si="15"/>
        <v>149135.41799227483</v>
      </c>
    </row>
    <row r="251" spans="2:7" x14ac:dyDescent="0.25">
      <c r="B251" s="10">
        <v>241</v>
      </c>
      <c r="C251" s="16">
        <f t="shared" si="16"/>
        <v>1610.4648690364172</v>
      </c>
      <c r="D251" s="16">
        <f t="shared" si="13"/>
        <v>621.39757496781181</v>
      </c>
      <c r="E251" s="16">
        <f t="shared" si="14"/>
        <v>989.06729406860541</v>
      </c>
      <c r="F251" s="16"/>
      <c r="G251" s="16">
        <f t="shared" si="15"/>
        <v>148146.35069820622</v>
      </c>
    </row>
    <row r="252" spans="2:7" x14ac:dyDescent="0.25">
      <c r="B252" s="10">
        <v>242</v>
      </c>
      <c r="C252" s="16">
        <f t="shared" si="16"/>
        <v>1610.4648690364172</v>
      </c>
      <c r="D252" s="16">
        <f t="shared" si="13"/>
        <v>617.2764612425259</v>
      </c>
      <c r="E252" s="16">
        <f t="shared" si="14"/>
        <v>993.18840779389132</v>
      </c>
      <c r="F252" s="16"/>
      <c r="G252" s="16">
        <f t="shared" si="15"/>
        <v>147153.16229041232</v>
      </c>
    </row>
    <row r="253" spans="2:7" x14ac:dyDescent="0.25">
      <c r="B253" s="10">
        <v>243</v>
      </c>
      <c r="C253" s="16">
        <f t="shared" si="16"/>
        <v>1610.4648690364172</v>
      </c>
      <c r="D253" s="16">
        <f t="shared" si="13"/>
        <v>613.13817621005137</v>
      </c>
      <c r="E253" s="16">
        <f t="shared" si="14"/>
        <v>997.32669282636584</v>
      </c>
      <c r="F253" s="16"/>
      <c r="G253" s="16">
        <f t="shared" si="15"/>
        <v>146155.83559758594</v>
      </c>
    </row>
    <row r="254" spans="2:7" x14ac:dyDescent="0.25">
      <c r="B254" s="10">
        <v>244</v>
      </c>
      <c r="C254" s="16">
        <f t="shared" si="16"/>
        <v>1610.4648690364172</v>
      </c>
      <c r="D254" s="16">
        <f t="shared" si="13"/>
        <v>608.98264832327482</v>
      </c>
      <c r="E254" s="16">
        <f t="shared" si="14"/>
        <v>1001.4822207131424</v>
      </c>
      <c r="F254" s="16"/>
      <c r="G254" s="16">
        <f t="shared" si="15"/>
        <v>145154.35337687281</v>
      </c>
    </row>
    <row r="255" spans="2:7" x14ac:dyDescent="0.25">
      <c r="B255" s="10">
        <v>245</v>
      </c>
      <c r="C255" s="16">
        <f t="shared" si="16"/>
        <v>1610.4648690364172</v>
      </c>
      <c r="D255" s="16">
        <f t="shared" si="13"/>
        <v>604.80980573697002</v>
      </c>
      <c r="E255" s="16">
        <f t="shared" si="14"/>
        <v>1005.6550632994472</v>
      </c>
      <c r="F255" s="16"/>
      <c r="G255" s="16">
        <f t="shared" si="15"/>
        <v>144148.69831357338</v>
      </c>
    </row>
    <row r="256" spans="2:7" x14ac:dyDescent="0.25">
      <c r="B256" s="10">
        <v>246</v>
      </c>
      <c r="C256" s="16">
        <f t="shared" si="16"/>
        <v>1610.4648690364172</v>
      </c>
      <c r="D256" s="16">
        <f t="shared" si="13"/>
        <v>600.6195763065557</v>
      </c>
      <c r="E256" s="16">
        <f t="shared" si="14"/>
        <v>1009.8452927298615</v>
      </c>
      <c r="F256" s="16"/>
      <c r="G256" s="16">
        <f t="shared" si="15"/>
        <v>143138.85302084353</v>
      </c>
    </row>
    <row r="257" spans="2:7" x14ac:dyDescent="0.25">
      <c r="B257" s="10">
        <v>247</v>
      </c>
      <c r="C257" s="16">
        <f t="shared" si="16"/>
        <v>1610.4648690364172</v>
      </c>
      <c r="D257" s="16">
        <f t="shared" si="13"/>
        <v>596.41188758684802</v>
      </c>
      <c r="E257" s="16">
        <f t="shared" si="14"/>
        <v>1014.0529814495692</v>
      </c>
      <c r="F257" s="16"/>
      <c r="G257" s="16">
        <f t="shared" si="15"/>
        <v>142124.80003939394</v>
      </c>
    </row>
    <row r="258" spans="2:7" x14ac:dyDescent="0.25">
      <c r="B258" s="10">
        <v>248</v>
      </c>
      <c r="C258" s="16">
        <f t="shared" si="16"/>
        <v>1610.4648690364172</v>
      </c>
      <c r="D258" s="16">
        <f t="shared" si="13"/>
        <v>592.18666683080812</v>
      </c>
      <c r="E258" s="16">
        <f t="shared" si="14"/>
        <v>1018.2782022056091</v>
      </c>
      <c r="F258" s="16"/>
      <c r="G258" s="16">
        <f t="shared" si="15"/>
        <v>141106.52183718834</v>
      </c>
    </row>
    <row r="259" spans="2:7" x14ac:dyDescent="0.25">
      <c r="B259" s="10">
        <v>249</v>
      </c>
      <c r="C259" s="16">
        <f t="shared" si="16"/>
        <v>1610.4648690364172</v>
      </c>
      <c r="D259" s="16">
        <f t="shared" si="13"/>
        <v>587.94384098828471</v>
      </c>
      <c r="E259" s="16">
        <f t="shared" si="14"/>
        <v>1022.5210280481325</v>
      </c>
      <c r="F259" s="16"/>
      <c r="G259" s="16">
        <f t="shared" si="15"/>
        <v>140084.00080914021</v>
      </c>
    </row>
    <row r="260" spans="2:7" x14ac:dyDescent="0.25">
      <c r="B260" s="10">
        <v>250</v>
      </c>
      <c r="C260" s="16">
        <f t="shared" si="16"/>
        <v>1610.4648690364172</v>
      </c>
      <c r="D260" s="16">
        <f t="shared" si="13"/>
        <v>583.6833367047509</v>
      </c>
      <c r="E260" s="16">
        <f t="shared" si="14"/>
        <v>1026.7815323316663</v>
      </c>
      <c r="F260" s="16"/>
      <c r="G260" s="16">
        <f t="shared" si="15"/>
        <v>139057.21927680855</v>
      </c>
    </row>
    <row r="261" spans="2:7" x14ac:dyDescent="0.25">
      <c r="B261" s="10">
        <v>251</v>
      </c>
      <c r="C261" s="16">
        <f t="shared" si="16"/>
        <v>1610.4648690364172</v>
      </c>
      <c r="D261" s="16">
        <f t="shared" si="13"/>
        <v>579.40508032003561</v>
      </c>
      <c r="E261" s="16">
        <f t="shared" si="14"/>
        <v>1031.0597887163817</v>
      </c>
      <c r="F261" s="16"/>
      <c r="G261" s="16">
        <f t="shared" si="15"/>
        <v>138026.15948809218</v>
      </c>
    </row>
    <row r="262" spans="2:7" x14ac:dyDescent="0.25">
      <c r="B262" s="10">
        <v>252</v>
      </c>
      <c r="C262" s="16">
        <f t="shared" si="16"/>
        <v>1610.4648690364172</v>
      </c>
      <c r="D262" s="16">
        <f t="shared" si="13"/>
        <v>575.10899786705068</v>
      </c>
      <c r="E262" s="16">
        <f t="shared" si="14"/>
        <v>1035.3558711693665</v>
      </c>
      <c r="F262" s="16"/>
      <c r="G262" s="16">
        <f t="shared" si="15"/>
        <v>136990.80361692281</v>
      </c>
    </row>
    <row r="263" spans="2:7" x14ac:dyDescent="0.25">
      <c r="B263" s="10">
        <v>253</v>
      </c>
      <c r="C263" s="16">
        <f t="shared" si="16"/>
        <v>1610.4648690364172</v>
      </c>
      <c r="D263" s="16">
        <f t="shared" si="13"/>
        <v>570.79501507051168</v>
      </c>
      <c r="E263" s="16">
        <f t="shared" si="14"/>
        <v>1039.6698539659055</v>
      </c>
      <c r="F263" s="16"/>
      <c r="G263" s="16">
        <f t="shared" si="15"/>
        <v>135951.13376295692</v>
      </c>
    </row>
    <row r="264" spans="2:7" x14ac:dyDescent="0.25">
      <c r="B264" s="10">
        <v>254</v>
      </c>
      <c r="C264" s="16">
        <f t="shared" si="16"/>
        <v>1610.4648690364172</v>
      </c>
      <c r="D264" s="16">
        <f t="shared" si="13"/>
        <v>566.46305734565385</v>
      </c>
      <c r="E264" s="16">
        <f t="shared" si="14"/>
        <v>1044.0018116907634</v>
      </c>
      <c r="F264" s="16"/>
      <c r="G264" s="16">
        <f t="shared" si="15"/>
        <v>134907.13195126614</v>
      </c>
    </row>
    <row r="265" spans="2:7" x14ac:dyDescent="0.25">
      <c r="B265" s="10">
        <v>255</v>
      </c>
      <c r="C265" s="16">
        <f t="shared" si="16"/>
        <v>1610.4648690364172</v>
      </c>
      <c r="D265" s="16">
        <f t="shared" si="13"/>
        <v>562.11304979694228</v>
      </c>
      <c r="E265" s="16">
        <f t="shared" si="14"/>
        <v>1048.3518192394749</v>
      </c>
      <c r="F265" s="16"/>
      <c r="G265" s="16">
        <f t="shared" si="15"/>
        <v>133858.78013202667</v>
      </c>
    </row>
    <row r="266" spans="2:7" x14ac:dyDescent="0.25">
      <c r="B266" s="10">
        <v>256</v>
      </c>
      <c r="C266" s="16">
        <f t="shared" si="16"/>
        <v>1610.4648690364172</v>
      </c>
      <c r="D266" s="16">
        <f t="shared" si="13"/>
        <v>557.74491721677782</v>
      </c>
      <c r="E266" s="16">
        <f t="shared" si="14"/>
        <v>1052.7199518196394</v>
      </c>
      <c r="F266" s="16"/>
      <c r="G266" s="16">
        <f t="shared" si="15"/>
        <v>132806.06018020705</v>
      </c>
    </row>
    <row r="267" spans="2:7" x14ac:dyDescent="0.25">
      <c r="B267" s="10">
        <v>257</v>
      </c>
      <c r="C267" s="16">
        <f t="shared" si="16"/>
        <v>1610.4648690364172</v>
      </c>
      <c r="D267" s="16">
        <f t="shared" si="13"/>
        <v>553.35858408419597</v>
      </c>
      <c r="E267" s="16">
        <f t="shared" si="14"/>
        <v>1057.1062849522214</v>
      </c>
      <c r="F267" s="16"/>
      <c r="G267" s="16">
        <f t="shared" si="15"/>
        <v>131748.95389525482</v>
      </c>
    </row>
    <row r="268" spans="2:7" x14ac:dyDescent="0.25">
      <c r="B268" s="10">
        <v>258</v>
      </c>
      <c r="C268" s="16">
        <f t="shared" si="16"/>
        <v>1610.4648690364172</v>
      </c>
      <c r="D268" s="16">
        <f t="shared" ref="D268:D331" si="17">G267*$C$4</f>
        <v>548.9539745635617</v>
      </c>
      <c r="E268" s="16">
        <f t="shared" ref="E268:E331" si="18">C268-D268</f>
        <v>1061.5108944728554</v>
      </c>
      <c r="F268" s="16"/>
      <c r="G268" s="16">
        <f t="shared" ref="G268:G331" si="19">G267-F268-E268</f>
        <v>130687.44300078196</v>
      </c>
    </row>
    <row r="269" spans="2:7" x14ac:dyDescent="0.25">
      <c r="B269" s="10">
        <v>259</v>
      </c>
      <c r="C269" s="16">
        <f t="shared" si="16"/>
        <v>1610.4648690364172</v>
      </c>
      <c r="D269" s="16">
        <f t="shared" si="17"/>
        <v>544.53101250325813</v>
      </c>
      <c r="E269" s="16">
        <f t="shared" si="18"/>
        <v>1065.9338565331591</v>
      </c>
      <c r="F269" s="16"/>
      <c r="G269" s="16">
        <f t="shared" si="19"/>
        <v>129621.5091442488</v>
      </c>
    </row>
    <row r="270" spans="2:7" x14ac:dyDescent="0.25">
      <c r="B270" s="10">
        <v>260</v>
      </c>
      <c r="C270" s="16">
        <f t="shared" si="16"/>
        <v>1610.4648690364172</v>
      </c>
      <c r="D270" s="16">
        <f t="shared" si="17"/>
        <v>540.08962143436997</v>
      </c>
      <c r="E270" s="16">
        <f t="shared" si="18"/>
        <v>1070.3752476020472</v>
      </c>
      <c r="F270" s="16"/>
      <c r="G270" s="16">
        <f t="shared" si="19"/>
        <v>128551.13389664676</v>
      </c>
    </row>
    <row r="271" spans="2:7" x14ac:dyDescent="0.25">
      <c r="B271" s="10">
        <v>261</v>
      </c>
      <c r="C271" s="16">
        <f t="shared" si="16"/>
        <v>1610.4648690364172</v>
      </c>
      <c r="D271" s="16">
        <f t="shared" si="17"/>
        <v>535.62972456936154</v>
      </c>
      <c r="E271" s="16">
        <f t="shared" si="18"/>
        <v>1074.8351444670557</v>
      </c>
      <c r="F271" s="16"/>
      <c r="G271" s="16">
        <f t="shared" si="19"/>
        <v>127476.2987521797</v>
      </c>
    </row>
    <row r="272" spans="2:7" x14ac:dyDescent="0.25">
      <c r="B272" s="10">
        <v>262</v>
      </c>
      <c r="C272" s="16">
        <f t="shared" si="16"/>
        <v>1610.4648690364172</v>
      </c>
      <c r="D272" s="16">
        <f t="shared" si="17"/>
        <v>531.15124480074871</v>
      </c>
      <c r="E272" s="16">
        <f t="shared" si="18"/>
        <v>1079.3136242356686</v>
      </c>
      <c r="F272" s="16"/>
      <c r="G272" s="16">
        <f t="shared" si="19"/>
        <v>126396.98512794403</v>
      </c>
    </row>
    <row r="273" spans="2:7" x14ac:dyDescent="0.25">
      <c r="B273" s="10">
        <v>263</v>
      </c>
      <c r="C273" s="16">
        <f t="shared" si="16"/>
        <v>1610.4648690364172</v>
      </c>
      <c r="D273" s="16">
        <f t="shared" si="17"/>
        <v>526.65410469976678</v>
      </c>
      <c r="E273" s="16">
        <f t="shared" si="18"/>
        <v>1083.8107643366504</v>
      </c>
      <c r="F273" s="16"/>
      <c r="G273" s="16">
        <f t="shared" si="19"/>
        <v>125313.17436360738</v>
      </c>
    </row>
    <row r="274" spans="2:7" x14ac:dyDescent="0.25">
      <c r="B274" s="10">
        <v>264</v>
      </c>
      <c r="C274" s="16">
        <f t="shared" si="16"/>
        <v>1610.4648690364172</v>
      </c>
      <c r="D274" s="16">
        <f t="shared" si="17"/>
        <v>522.13822651503074</v>
      </c>
      <c r="E274" s="16">
        <f t="shared" si="18"/>
        <v>1088.3266425213865</v>
      </c>
      <c r="F274" s="16"/>
      <c r="G274" s="16">
        <f t="shared" si="19"/>
        <v>124224.847721086</v>
      </c>
    </row>
    <row r="275" spans="2:7" x14ac:dyDescent="0.25">
      <c r="B275" s="10">
        <v>265</v>
      </c>
      <c r="C275" s="16">
        <f t="shared" si="16"/>
        <v>1610.4648690364172</v>
      </c>
      <c r="D275" s="16">
        <f t="shared" si="17"/>
        <v>517.60353217119166</v>
      </c>
      <c r="E275" s="16">
        <f t="shared" si="18"/>
        <v>1092.8613368652254</v>
      </c>
      <c r="F275" s="16"/>
      <c r="G275" s="16">
        <f t="shared" si="19"/>
        <v>123131.98638422077</v>
      </c>
    </row>
    <row r="276" spans="2:7" x14ac:dyDescent="0.25">
      <c r="B276" s="10">
        <v>266</v>
      </c>
      <c r="C276" s="16">
        <f t="shared" si="16"/>
        <v>1610.4648690364172</v>
      </c>
      <c r="D276" s="16">
        <f t="shared" si="17"/>
        <v>513.04994326758651</v>
      </c>
      <c r="E276" s="16">
        <f t="shared" si="18"/>
        <v>1097.4149257688307</v>
      </c>
      <c r="F276" s="16"/>
      <c r="G276" s="16">
        <f t="shared" si="19"/>
        <v>122034.57145845194</v>
      </c>
    </row>
    <row r="277" spans="2:7" x14ac:dyDescent="0.25">
      <c r="B277" s="10">
        <v>267</v>
      </c>
      <c r="C277" s="16">
        <f t="shared" si="16"/>
        <v>1610.4648690364172</v>
      </c>
      <c r="D277" s="16">
        <f t="shared" si="17"/>
        <v>508.47738107688309</v>
      </c>
      <c r="E277" s="16">
        <f t="shared" si="18"/>
        <v>1101.9874879595341</v>
      </c>
      <c r="F277" s="16"/>
      <c r="G277" s="16">
        <f t="shared" si="19"/>
        <v>120932.58397049241</v>
      </c>
    </row>
    <row r="278" spans="2:7" x14ac:dyDescent="0.25">
      <c r="B278" s="10">
        <v>268</v>
      </c>
      <c r="C278" s="16">
        <f t="shared" si="16"/>
        <v>1610.4648690364172</v>
      </c>
      <c r="D278" s="16">
        <f t="shared" si="17"/>
        <v>503.88576654371838</v>
      </c>
      <c r="E278" s="16">
        <f t="shared" si="18"/>
        <v>1106.5791024926989</v>
      </c>
      <c r="F278" s="16"/>
      <c r="G278" s="16">
        <f t="shared" si="19"/>
        <v>119826.00486799971</v>
      </c>
    </row>
    <row r="279" spans="2:7" x14ac:dyDescent="0.25">
      <c r="B279" s="10">
        <v>269</v>
      </c>
      <c r="C279" s="16">
        <f t="shared" si="16"/>
        <v>1610.4648690364172</v>
      </c>
      <c r="D279" s="16">
        <f t="shared" si="17"/>
        <v>499.27502028333214</v>
      </c>
      <c r="E279" s="16">
        <f t="shared" si="18"/>
        <v>1111.189848753085</v>
      </c>
      <c r="F279" s="16"/>
      <c r="G279" s="16">
        <f t="shared" si="19"/>
        <v>118714.81501924663</v>
      </c>
    </row>
    <row r="280" spans="2:7" x14ac:dyDescent="0.25">
      <c r="B280" s="10">
        <v>270</v>
      </c>
      <c r="C280" s="16">
        <f t="shared" si="16"/>
        <v>1610.4648690364172</v>
      </c>
      <c r="D280" s="16">
        <f t="shared" si="17"/>
        <v>494.64506258019429</v>
      </c>
      <c r="E280" s="16">
        <f t="shared" si="18"/>
        <v>1115.819806456223</v>
      </c>
      <c r="F280" s="16"/>
      <c r="G280" s="16">
        <f t="shared" si="19"/>
        <v>117598.99521279041</v>
      </c>
    </row>
    <row r="281" spans="2:7" x14ac:dyDescent="0.25">
      <c r="B281" s="10">
        <v>271</v>
      </c>
      <c r="C281" s="16">
        <f t="shared" si="16"/>
        <v>1610.4648690364172</v>
      </c>
      <c r="D281" s="16">
        <f t="shared" si="17"/>
        <v>489.99581338662671</v>
      </c>
      <c r="E281" s="16">
        <f t="shared" si="18"/>
        <v>1120.4690556497906</v>
      </c>
      <c r="F281" s="16"/>
      <c r="G281" s="16">
        <f t="shared" si="19"/>
        <v>116478.52615714062</v>
      </c>
    </row>
    <row r="282" spans="2:7" x14ac:dyDescent="0.25">
      <c r="B282" s="10">
        <v>272</v>
      </c>
      <c r="C282" s="16">
        <f t="shared" ref="C282:C345" si="20">IF(G281&lt;$C$7,G281*(1+$C$4),$C$7)</f>
        <v>1610.4648690364172</v>
      </c>
      <c r="D282" s="16">
        <f t="shared" si="17"/>
        <v>485.3271923214192</v>
      </c>
      <c r="E282" s="16">
        <f t="shared" si="18"/>
        <v>1125.137676714998</v>
      </c>
      <c r="F282" s="16"/>
      <c r="G282" s="16">
        <f t="shared" si="19"/>
        <v>115353.38848042562</v>
      </c>
    </row>
    <row r="283" spans="2:7" x14ac:dyDescent="0.25">
      <c r="B283" s="10">
        <v>273</v>
      </c>
      <c r="C283" s="16">
        <f t="shared" si="20"/>
        <v>1610.4648690364172</v>
      </c>
      <c r="D283" s="16">
        <f t="shared" si="17"/>
        <v>480.63911866844006</v>
      </c>
      <c r="E283" s="16">
        <f t="shared" si="18"/>
        <v>1129.8257503679772</v>
      </c>
      <c r="F283" s="16"/>
      <c r="G283" s="16">
        <f t="shared" si="19"/>
        <v>114223.56273005765</v>
      </c>
    </row>
    <row r="284" spans="2:7" x14ac:dyDescent="0.25">
      <c r="B284" s="10">
        <v>274</v>
      </c>
      <c r="C284" s="16">
        <f t="shared" si="20"/>
        <v>1610.4648690364172</v>
      </c>
      <c r="D284" s="16">
        <f t="shared" si="17"/>
        <v>475.93151137524018</v>
      </c>
      <c r="E284" s="16">
        <f t="shared" si="18"/>
        <v>1134.533357661177</v>
      </c>
      <c r="F284" s="16"/>
      <c r="G284" s="16">
        <f t="shared" si="19"/>
        <v>113089.02937239647</v>
      </c>
    </row>
    <row r="285" spans="2:7" x14ac:dyDescent="0.25">
      <c r="B285" s="10">
        <v>275</v>
      </c>
      <c r="C285" s="16">
        <f t="shared" si="20"/>
        <v>1610.4648690364172</v>
      </c>
      <c r="D285" s="16">
        <f t="shared" si="17"/>
        <v>471.20428905165198</v>
      </c>
      <c r="E285" s="16">
        <f t="shared" si="18"/>
        <v>1139.2605799847652</v>
      </c>
      <c r="F285" s="16"/>
      <c r="G285" s="16">
        <f t="shared" si="19"/>
        <v>111949.76879241171</v>
      </c>
    </row>
    <row r="286" spans="2:7" x14ac:dyDescent="0.25">
      <c r="B286" s="10">
        <v>276</v>
      </c>
      <c r="C286" s="16">
        <f t="shared" si="20"/>
        <v>1610.4648690364172</v>
      </c>
      <c r="D286" s="16">
        <f t="shared" si="17"/>
        <v>466.45736996838212</v>
      </c>
      <c r="E286" s="16">
        <f t="shared" si="18"/>
        <v>1144.007499068035</v>
      </c>
      <c r="F286" s="16"/>
      <c r="G286" s="16">
        <f t="shared" si="19"/>
        <v>110805.76129334368</v>
      </c>
    </row>
    <row r="287" spans="2:7" x14ac:dyDescent="0.25">
      <c r="B287" s="10">
        <v>277</v>
      </c>
      <c r="C287" s="16">
        <f t="shared" si="20"/>
        <v>1610.4648690364172</v>
      </c>
      <c r="D287" s="16">
        <f t="shared" si="17"/>
        <v>461.69067205559867</v>
      </c>
      <c r="E287" s="16">
        <f t="shared" si="18"/>
        <v>1148.7741969808185</v>
      </c>
      <c r="F287" s="16"/>
      <c r="G287" s="16">
        <f t="shared" si="19"/>
        <v>109656.98709636286</v>
      </c>
    </row>
    <row r="288" spans="2:7" x14ac:dyDescent="0.25">
      <c r="B288" s="10">
        <v>278</v>
      </c>
      <c r="C288" s="16">
        <f t="shared" si="20"/>
        <v>1610.4648690364172</v>
      </c>
      <c r="D288" s="16">
        <f t="shared" si="17"/>
        <v>456.90411290151195</v>
      </c>
      <c r="E288" s="16">
        <f t="shared" si="18"/>
        <v>1153.5607561349052</v>
      </c>
      <c r="F288" s="16"/>
      <c r="G288" s="16">
        <f t="shared" si="19"/>
        <v>108503.42634022796</v>
      </c>
    </row>
    <row r="289" spans="2:7" x14ac:dyDescent="0.25">
      <c r="B289" s="10">
        <v>279</v>
      </c>
      <c r="C289" s="16">
        <f t="shared" si="20"/>
        <v>1610.4648690364172</v>
      </c>
      <c r="D289" s="16">
        <f t="shared" si="17"/>
        <v>452.09760975094986</v>
      </c>
      <c r="E289" s="16">
        <f t="shared" si="18"/>
        <v>1158.3672592854673</v>
      </c>
      <c r="F289" s="16"/>
      <c r="G289" s="16">
        <f t="shared" si="19"/>
        <v>107345.05908094249</v>
      </c>
    </row>
    <row r="290" spans="2:7" x14ac:dyDescent="0.25">
      <c r="B290" s="10">
        <v>280</v>
      </c>
      <c r="C290" s="16">
        <f t="shared" si="20"/>
        <v>1610.4648690364172</v>
      </c>
      <c r="D290" s="16">
        <f t="shared" si="17"/>
        <v>447.27107950392701</v>
      </c>
      <c r="E290" s="16">
        <f t="shared" si="18"/>
        <v>1163.1937895324902</v>
      </c>
      <c r="F290" s="16"/>
      <c r="G290" s="16">
        <f t="shared" si="19"/>
        <v>106181.86529140999</v>
      </c>
    </row>
    <row r="291" spans="2:7" x14ac:dyDescent="0.25">
      <c r="B291" s="10">
        <v>281</v>
      </c>
      <c r="C291" s="16">
        <f t="shared" si="20"/>
        <v>1610.4648690364172</v>
      </c>
      <c r="D291" s="16">
        <f t="shared" si="17"/>
        <v>442.42443871420829</v>
      </c>
      <c r="E291" s="16">
        <f t="shared" si="18"/>
        <v>1168.040430322209</v>
      </c>
      <c r="F291" s="16"/>
      <c r="G291" s="16">
        <f t="shared" si="19"/>
        <v>105013.82486108779</v>
      </c>
    </row>
    <row r="292" spans="2:7" x14ac:dyDescent="0.25">
      <c r="B292" s="10">
        <v>282</v>
      </c>
      <c r="C292" s="16">
        <f t="shared" si="20"/>
        <v>1610.4648690364172</v>
      </c>
      <c r="D292" s="16">
        <f t="shared" si="17"/>
        <v>437.5576035878658</v>
      </c>
      <c r="E292" s="16">
        <f t="shared" si="18"/>
        <v>1172.9072654485515</v>
      </c>
      <c r="F292" s="16"/>
      <c r="G292" s="16">
        <f t="shared" si="19"/>
        <v>103840.91759563924</v>
      </c>
    </row>
    <row r="293" spans="2:7" x14ac:dyDescent="0.25">
      <c r="B293" s="10">
        <v>283</v>
      </c>
      <c r="C293" s="16">
        <f t="shared" si="20"/>
        <v>1610.4648690364172</v>
      </c>
      <c r="D293" s="16">
        <f t="shared" si="17"/>
        <v>432.67048998183014</v>
      </c>
      <c r="E293" s="16">
        <f t="shared" si="18"/>
        <v>1177.7943790545871</v>
      </c>
      <c r="F293" s="16"/>
      <c r="G293" s="16">
        <f t="shared" si="19"/>
        <v>102663.12321658466</v>
      </c>
    </row>
    <row r="294" spans="2:7" x14ac:dyDescent="0.25">
      <c r="B294" s="10">
        <v>284</v>
      </c>
      <c r="C294" s="16">
        <f t="shared" si="20"/>
        <v>1610.4648690364172</v>
      </c>
      <c r="D294" s="16">
        <f t="shared" si="17"/>
        <v>427.76301340243606</v>
      </c>
      <c r="E294" s="16">
        <f t="shared" si="18"/>
        <v>1182.7018556339813</v>
      </c>
      <c r="F294" s="16"/>
      <c r="G294" s="16">
        <f t="shared" si="19"/>
        <v>101480.42136095068</v>
      </c>
    </row>
    <row r="295" spans="2:7" x14ac:dyDescent="0.25">
      <c r="B295" s="10">
        <v>285</v>
      </c>
      <c r="C295" s="16">
        <f t="shared" si="20"/>
        <v>1610.4648690364172</v>
      </c>
      <c r="D295" s="16">
        <f t="shared" si="17"/>
        <v>422.83508900396117</v>
      </c>
      <c r="E295" s="16">
        <f t="shared" si="18"/>
        <v>1187.629780032456</v>
      </c>
      <c r="F295" s="16"/>
      <c r="G295" s="16">
        <f t="shared" si="19"/>
        <v>100292.79158091823</v>
      </c>
    </row>
    <row r="296" spans="2:7" x14ac:dyDescent="0.25">
      <c r="B296" s="10">
        <v>286</v>
      </c>
      <c r="C296" s="16">
        <f t="shared" si="20"/>
        <v>1610.4648690364172</v>
      </c>
      <c r="D296" s="16">
        <f t="shared" si="17"/>
        <v>417.88663158715929</v>
      </c>
      <c r="E296" s="16">
        <f t="shared" si="18"/>
        <v>1192.5782374492578</v>
      </c>
      <c r="F296" s="16"/>
      <c r="G296" s="16">
        <f t="shared" si="19"/>
        <v>99100.213343468975</v>
      </c>
    </row>
    <row r="297" spans="2:7" x14ac:dyDescent="0.25">
      <c r="B297" s="10">
        <v>287</v>
      </c>
      <c r="C297" s="16">
        <f t="shared" si="20"/>
        <v>1610.4648690364172</v>
      </c>
      <c r="D297" s="16">
        <f t="shared" si="17"/>
        <v>412.91755559778738</v>
      </c>
      <c r="E297" s="16">
        <f t="shared" si="18"/>
        <v>1197.5473134386298</v>
      </c>
      <c r="F297" s="16"/>
      <c r="G297" s="16">
        <f t="shared" si="19"/>
        <v>97902.666030030348</v>
      </c>
    </row>
    <row r="298" spans="2:7" x14ac:dyDescent="0.25">
      <c r="B298" s="10">
        <v>288</v>
      </c>
      <c r="C298" s="16">
        <f t="shared" si="20"/>
        <v>1610.4648690364172</v>
      </c>
      <c r="D298" s="16">
        <f t="shared" si="17"/>
        <v>407.92777512512646</v>
      </c>
      <c r="E298" s="16">
        <f t="shared" si="18"/>
        <v>1202.5370939112909</v>
      </c>
      <c r="F298" s="16"/>
      <c r="G298" s="16">
        <f t="shared" si="19"/>
        <v>96700.128936119057</v>
      </c>
    </row>
    <row r="299" spans="2:7" x14ac:dyDescent="0.25">
      <c r="B299" s="10">
        <v>289</v>
      </c>
      <c r="C299" s="16">
        <f t="shared" si="20"/>
        <v>1610.4648690364172</v>
      </c>
      <c r="D299" s="16">
        <f t="shared" si="17"/>
        <v>402.91720390049608</v>
      </c>
      <c r="E299" s="16">
        <f t="shared" si="18"/>
        <v>1207.5476651359211</v>
      </c>
      <c r="F299" s="16"/>
      <c r="G299" s="16">
        <f t="shared" si="19"/>
        <v>95492.581270983137</v>
      </c>
    </row>
    <row r="300" spans="2:7" x14ac:dyDescent="0.25">
      <c r="B300" s="10">
        <v>290</v>
      </c>
      <c r="C300" s="16">
        <f t="shared" si="20"/>
        <v>1610.4648690364172</v>
      </c>
      <c r="D300" s="16">
        <f t="shared" si="17"/>
        <v>397.88575529576309</v>
      </c>
      <c r="E300" s="16">
        <f t="shared" si="18"/>
        <v>1212.5791137406541</v>
      </c>
      <c r="F300" s="16"/>
      <c r="G300" s="16">
        <f t="shared" si="19"/>
        <v>94280.002157242488</v>
      </c>
    </row>
    <row r="301" spans="2:7" x14ac:dyDescent="0.25">
      <c r="B301" s="10">
        <v>291</v>
      </c>
      <c r="C301" s="16">
        <f t="shared" si="20"/>
        <v>1610.4648690364172</v>
      </c>
      <c r="D301" s="16">
        <f t="shared" si="17"/>
        <v>392.8333423218437</v>
      </c>
      <c r="E301" s="16">
        <f t="shared" si="18"/>
        <v>1217.6315267145735</v>
      </c>
      <c r="F301" s="16"/>
      <c r="G301" s="16">
        <f t="shared" si="19"/>
        <v>93062.370630527919</v>
      </c>
    </row>
    <row r="302" spans="2:7" x14ac:dyDescent="0.25">
      <c r="B302" s="10">
        <v>292</v>
      </c>
      <c r="C302" s="16">
        <f t="shared" si="20"/>
        <v>1610.4648690364172</v>
      </c>
      <c r="D302" s="16">
        <f t="shared" si="17"/>
        <v>387.75987762719967</v>
      </c>
      <c r="E302" s="16">
        <f t="shared" si="18"/>
        <v>1222.7049914092177</v>
      </c>
      <c r="F302" s="16"/>
      <c r="G302" s="16">
        <f t="shared" si="19"/>
        <v>91839.665639118699</v>
      </c>
    </row>
    <row r="303" spans="2:7" x14ac:dyDescent="0.25">
      <c r="B303" s="10">
        <v>293</v>
      </c>
      <c r="C303" s="16">
        <f t="shared" si="20"/>
        <v>1610.4648690364172</v>
      </c>
      <c r="D303" s="16">
        <f t="shared" si="17"/>
        <v>382.66527349632793</v>
      </c>
      <c r="E303" s="16">
        <f t="shared" si="18"/>
        <v>1227.7995955400893</v>
      </c>
      <c r="F303" s="16"/>
      <c r="G303" s="16">
        <f t="shared" si="19"/>
        <v>90611.866043578615</v>
      </c>
    </row>
    <row r="304" spans="2:7" x14ac:dyDescent="0.25">
      <c r="B304" s="10">
        <v>294</v>
      </c>
      <c r="C304" s="16">
        <f t="shared" si="20"/>
        <v>1610.4648690364172</v>
      </c>
      <c r="D304" s="16">
        <f t="shared" si="17"/>
        <v>377.54944184824421</v>
      </c>
      <c r="E304" s="16">
        <f t="shared" si="18"/>
        <v>1232.915427188173</v>
      </c>
      <c r="F304" s="16"/>
      <c r="G304" s="16">
        <f t="shared" si="19"/>
        <v>89378.950616390444</v>
      </c>
    </row>
    <row r="305" spans="2:7" x14ac:dyDescent="0.25">
      <c r="B305" s="10">
        <v>295</v>
      </c>
      <c r="C305" s="16">
        <f t="shared" si="20"/>
        <v>1610.4648690364172</v>
      </c>
      <c r="D305" s="16">
        <f t="shared" si="17"/>
        <v>372.4122942349602</v>
      </c>
      <c r="E305" s="16">
        <f t="shared" si="18"/>
        <v>1238.052574801457</v>
      </c>
      <c r="F305" s="16"/>
      <c r="G305" s="16">
        <f t="shared" si="19"/>
        <v>88140.898041588982</v>
      </c>
    </row>
    <row r="306" spans="2:7" x14ac:dyDescent="0.25">
      <c r="B306" s="10">
        <v>296</v>
      </c>
      <c r="C306" s="16">
        <f t="shared" si="20"/>
        <v>1610.4648690364172</v>
      </c>
      <c r="D306" s="16">
        <f t="shared" si="17"/>
        <v>367.2537418399541</v>
      </c>
      <c r="E306" s="16">
        <f t="shared" si="18"/>
        <v>1243.2111271964632</v>
      </c>
      <c r="F306" s="16"/>
      <c r="G306" s="16">
        <f t="shared" si="19"/>
        <v>86897.686914392514</v>
      </c>
    </row>
    <row r="307" spans="2:7" x14ac:dyDescent="0.25">
      <c r="B307" s="10">
        <v>297</v>
      </c>
      <c r="C307" s="16">
        <f t="shared" si="20"/>
        <v>1610.4648690364172</v>
      </c>
      <c r="D307" s="16">
        <f t="shared" si="17"/>
        <v>362.07369547663546</v>
      </c>
      <c r="E307" s="16">
        <f t="shared" si="18"/>
        <v>1248.3911735597817</v>
      </c>
      <c r="F307" s="16"/>
      <c r="G307" s="16">
        <f t="shared" si="19"/>
        <v>85649.295740832735</v>
      </c>
    </row>
    <row r="308" spans="2:7" x14ac:dyDescent="0.25">
      <c r="B308" s="10">
        <v>298</v>
      </c>
      <c r="C308" s="16">
        <f t="shared" si="20"/>
        <v>1610.4648690364172</v>
      </c>
      <c r="D308" s="16">
        <f t="shared" si="17"/>
        <v>356.87206558680305</v>
      </c>
      <c r="E308" s="16">
        <f t="shared" si="18"/>
        <v>1253.5928034496142</v>
      </c>
      <c r="F308" s="16"/>
      <c r="G308" s="16">
        <f t="shared" si="19"/>
        <v>84395.702937383117</v>
      </c>
    </row>
    <row r="309" spans="2:7" x14ac:dyDescent="0.25">
      <c r="B309" s="10">
        <v>299</v>
      </c>
      <c r="C309" s="16">
        <f t="shared" si="20"/>
        <v>1610.4648690364172</v>
      </c>
      <c r="D309" s="16">
        <f t="shared" si="17"/>
        <v>351.6487622390963</v>
      </c>
      <c r="E309" s="16">
        <f t="shared" si="18"/>
        <v>1258.816106797321</v>
      </c>
      <c r="F309" s="16"/>
      <c r="G309" s="16">
        <f t="shared" si="19"/>
        <v>83136.88683058579</v>
      </c>
    </row>
    <row r="310" spans="2:7" x14ac:dyDescent="0.25">
      <c r="B310" s="10">
        <v>300</v>
      </c>
      <c r="C310" s="16">
        <f t="shared" si="20"/>
        <v>1610.4648690364172</v>
      </c>
      <c r="D310" s="16">
        <f t="shared" si="17"/>
        <v>346.40369512744081</v>
      </c>
      <c r="E310" s="16">
        <f t="shared" si="18"/>
        <v>1264.0611739089763</v>
      </c>
      <c r="F310" s="16"/>
      <c r="G310" s="16">
        <f t="shared" si="19"/>
        <v>81872.82565667681</v>
      </c>
    </row>
    <row r="311" spans="2:7" x14ac:dyDescent="0.25">
      <c r="B311" s="10">
        <v>301</v>
      </c>
      <c r="C311" s="16">
        <f t="shared" si="20"/>
        <v>1610.4648690364172</v>
      </c>
      <c r="D311" s="16">
        <f t="shared" si="17"/>
        <v>341.13677356948671</v>
      </c>
      <c r="E311" s="16">
        <f t="shared" si="18"/>
        <v>1269.3280954669306</v>
      </c>
      <c r="F311" s="16"/>
      <c r="G311" s="16">
        <f t="shared" si="19"/>
        <v>80603.497561209879</v>
      </c>
    </row>
    <row r="312" spans="2:7" x14ac:dyDescent="0.25">
      <c r="B312" s="10">
        <v>302</v>
      </c>
      <c r="C312" s="16">
        <f t="shared" si="20"/>
        <v>1610.4648690364172</v>
      </c>
      <c r="D312" s="16">
        <f t="shared" si="17"/>
        <v>335.84790650504118</v>
      </c>
      <c r="E312" s="16">
        <f t="shared" si="18"/>
        <v>1274.616962531376</v>
      </c>
      <c r="F312" s="16"/>
      <c r="G312" s="16">
        <f t="shared" si="19"/>
        <v>79328.880598678501</v>
      </c>
    </row>
    <row r="313" spans="2:7" x14ac:dyDescent="0.25">
      <c r="B313" s="10">
        <v>303</v>
      </c>
      <c r="C313" s="16">
        <f t="shared" si="20"/>
        <v>1610.4648690364172</v>
      </c>
      <c r="D313" s="16">
        <f t="shared" si="17"/>
        <v>330.53700249449378</v>
      </c>
      <c r="E313" s="16">
        <f t="shared" si="18"/>
        <v>1279.9278665419233</v>
      </c>
      <c r="F313" s="16"/>
      <c r="G313" s="16">
        <f t="shared" si="19"/>
        <v>78048.952732136575</v>
      </c>
    </row>
    <row r="314" spans="2:7" x14ac:dyDescent="0.25">
      <c r="B314" s="10">
        <v>304</v>
      </c>
      <c r="C314" s="16">
        <f t="shared" si="20"/>
        <v>1610.4648690364172</v>
      </c>
      <c r="D314" s="16">
        <f t="shared" si="17"/>
        <v>325.20396971723574</v>
      </c>
      <c r="E314" s="16">
        <f t="shared" si="18"/>
        <v>1285.2608993191816</v>
      </c>
      <c r="F314" s="16"/>
      <c r="G314" s="16">
        <f t="shared" si="19"/>
        <v>76763.691832817392</v>
      </c>
    </row>
    <row r="315" spans="2:7" x14ac:dyDescent="0.25">
      <c r="B315" s="10">
        <v>305</v>
      </c>
      <c r="C315" s="16">
        <f t="shared" si="20"/>
        <v>1610.4648690364172</v>
      </c>
      <c r="D315" s="16">
        <f t="shared" si="17"/>
        <v>319.84871597007248</v>
      </c>
      <c r="E315" s="16">
        <f t="shared" si="18"/>
        <v>1290.6161530663449</v>
      </c>
      <c r="F315" s="16"/>
      <c r="G315" s="16">
        <f t="shared" si="19"/>
        <v>75473.075679751055</v>
      </c>
    </row>
    <row r="316" spans="2:7" x14ac:dyDescent="0.25">
      <c r="B316" s="10">
        <v>306</v>
      </c>
      <c r="C316" s="16">
        <f t="shared" si="20"/>
        <v>1610.4648690364172</v>
      </c>
      <c r="D316" s="16">
        <f t="shared" si="17"/>
        <v>314.47114866562941</v>
      </c>
      <c r="E316" s="16">
        <f t="shared" si="18"/>
        <v>1295.9937203707877</v>
      </c>
      <c r="F316" s="16"/>
      <c r="G316" s="16">
        <f t="shared" si="19"/>
        <v>74177.081959380273</v>
      </c>
    </row>
    <row r="317" spans="2:7" x14ac:dyDescent="0.25">
      <c r="B317" s="10">
        <v>307</v>
      </c>
      <c r="C317" s="16">
        <f t="shared" si="20"/>
        <v>1610.4648690364172</v>
      </c>
      <c r="D317" s="16">
        <f t="shared" si="17"/>
        <v>309.07117483075115</v>
      </c>
      <c r="E317" s="16">
        <f t="shared" si="18"/>
        <v>1301.3936942056662</v>
      </c>
      <c r="F317" s="16"/>
      <c r="G317" s="16">
        <f t="shared" si="19"/>
        <v>72875.688265174613</v>
      </c>
    </row>
    <row r="318" spans="2:7" x14ac:dyDescent="0.25">
      <c r="B318" s="10">
        <v>308</v>
      </c>
      <c r="C318" s="16">
        <f t="shared" si="20"/>
        <v>1610.4648690364172</v>
      </c>
      <c r="D318" s="16">
        <f t="shared" si="17"/>
        <v>303.6487011048942</v>
      </c>
      <c r="E318" s="16">
        <f t="shared" si="18"/>
        <v>1306.8161679315231</v>
      </c>
      <c r="F318" s="16"/>
      <c r="G318" s="16">
        <f t="shared" si="19"/>
        <v>71568.872097243089</v>
      </c>
    </row>
    <row r="319" spans="2:7" x14ac:dyDescent="0.25">
      <c r="B319" s="10">
        <v>309</v>
      </c>
      <c r="C319" s="16">
        <f t="shared" si="20"/>
        <v>1610.4648690364172</v>
      </c>
      <c r="D319" s="16">
        <f t="shared" si="17"/>
        <v>298.20363373851285</v>
      </c>
      <c r="E319" s="16">
        <f t="shared" si="18"/>
        <v>1312.2612352979045</v>
      </c>
      <c r="F319" s="16"/>
      <c r="G319" s="16">
        <f t="shared" si="19"/>
        <v>70256.610861945184</v>
      </c>
    </row>
    <row r="320" spans="2:7" x14ac:dyDescent="0.25">
      <c r="B320" s="10">
        <v>310</v>
      </c>
      <c r="C320" s="16">
        <f t="shared" si="20"/>
        <v>1610.4648690364172</v>
      </c>
      <c r="D320" s="16">
        <f t="shared" si="17"/>
        <v>292.73587859143828</v>
      </c>
      <c r="E320" s="16">
        <f t="shared" si="18"/>
        <v>1317.728990444979</v>
      </c>
      <c r="F320" s="16"/>
      <c r="G320" s="16">
        <f t="shared" si="19"/>
        <v>68938.881871500198</v>
      </c>
    </row>
    <row r="321" spans="2:7" x14ac:dyDescent="0.25">
      <c r="B321" s="10">
        <v>311</v>
      </c>
      <c r="C321" s="16">
        <f t="shared" si="20"/>
        <v>1610.4648690364172</v>
      </c>
      <c r="D321" s="16">
        <f t="shared" si="17"/>
        <v>287.24534113125083</v>
      </c>
      <c r="E321" s="16">
        <f t="shared" si="18"/>
        <v>1323.2195279051664</v>
      </c>
      <c r="F321" s="16"/>
      <c r="G321" s="16">
        <f t="shared" si="19"/>
        <v>67615.662343595031</v>
      </c>
    </row>
    <row r="322" spans="2:7" x14ac:dyDescent="0.25">
      <c r="B322" s="10">
        <v>312</v>
      </c>
      <c r="C322" s="16">
        <f t="shared" si="20"/>
        <v>1610.4648690364172</v>
      </c>
      <c r="D322" s="16">
        <f t="shared" si="17"/>
        <v>281.73192643164595</v>
      </c>
      <c r="E322" s="16">
        <f t="shared" si="18"/>
        <v>1328.7329426047713</v>
      </c>
      <c r="F322" s="16"/>
      <c r="G322" s="16">
        <f t="shared" si="19"/>
        <v>66286.929400990266</v>
      </c>
    </row>
    <row r="323" spans="2:7" x14ac:dyDescent="0.25">
      <c r="B323" s="10">
        <v>313</v>
      </c>
      <c r="C323" s="16">
        <f t="shared" si="20"/>
        <v>1610.4648690364172</v>
      </c>
      <c r="D323" s="16">
        <f t="shared" si="17"/>
        <v>276.19553917079276</v>
      </c>
      <c r="E323" s="16">
        <f t="shared" si="18"/>
        <v>1334.2693298656245</v>
      </c>
      <c r="F323" s="16"/>
      <c r="G323" s="16">
        <f t="shared" si="19"/>
        <v>64952.660071124643</v>
      </c>
    </row>
    <row r="324" spans="2:7" x14ac:dyDescent="0.25">
      <c r="B324" s="10">
        <v>314</v>
      </c>
      <c r="C324" s="16">
        <f t="shared" si="20"/>
        <v>1610.4648690364172</v>
      </c>
      <c r="D324" s="16">
        <f t="shared" si="17"/>
        <v>270.63608362968603</v>
      </c>
      <c r="E324" s="16">
        <f t="shared" si="18"/>
        <v>1339.8287854067312</v>
      </c>
      <c r="F324" s="16"/>
      <c r="G324" s="16">
        <f t="shared" si="19"/>
        <v>63612.831285717912</v>
      </c>
    </row>
    <row r="325" spans="2:7" x14ac:dyDescent="0.25">
      <c r="B325" s="10">
        <v>315</v>
      </c>
      <c r="C325" s="16">
        <f t="shared" si="20"/>
        <v>1610.4648690364172</v>
      </c>
      <c r="D325" s="16">
        <f t="shared" si="17"/>
        <v>265.0534636904913</v>
      </c>
      <c r="E325" s="16">
        <f t="shared" si="18"/>
        <v>1345.4114053459259</v>
      </c>
      <c r="F325" s="16"/>
      <c r="G325" s="16">
        <f t="shared" si="19"/>
        <v>62267.419880371985</v>
      </c>
    </row>
    <row r="326" spans="2:7" x14ac:dyDescent="0.25">
      <c r="B326" s="10">
        <v>316</v>
      </c>
      <c r="C326" s="16">
        <f t="shared" si="20"/>
        <v>1610.4648690364172</v>
      </c>
      <c r="D326" s="16">
        <f t="shared" si="17"/>
        <v>259.44758283488329</v>
      </c>
      <c r="E326" s="16">
        <f t="shared" si="18"/>
        <v>1351.0172862015338</v>
      </c>
      <c r="F326" s="16"/>
      <c r="G326" s="16">
        <f t="shared" si="19"/>
        <v>60916.402594170453</v>
      </c>
    </row>
    <row r="327" spans="2:7" x14ac:dyDescent="0.25">
      <c r="B327" s="10">
        <v>317</v>
      </c>
      <c r="C327" s="16">
        <f t="shared" si="20"/>
        <v>1610.4648690364172</v>
      </c>
      <c r="D327" s="16">
        <f t="shared" si="17"/>
        <v>253.81834414237687</v>
      </c>
      <c r="E327" s="16">
        <f t="shared" si="18"/>
        <v>1356.6465248940403</v>
      </c>
      <c r="F327" s="16"/>
      <c r="G327" s="16">
        <f t="shared" si="19"/>
        <v>59559.756069276409</v>
      </c>
    </row>
    <row r="328" spans="2:7" x14ac:dyDescent="0.25">
      <c r="B328" s="10">
        <v>318</v>
      </c>
      <c r="C328" s="16">
        <f t="shared" si="20"/>
        <v>1610.4648690364172</v>
      </c>
      <c r="D328" s="16">
        <f t="shared" si="17"/>
        <v>248.1656502886517</v>
      </c>
      <c r="E328" s="16">
        <f t="shared" si="18"/>
        <v>1362.2992187477655</v>
      </c>
      <c r="F328" s="16"/>
      <c r="G328" s="16">
        <f t="shared" si="19"/>
        <v>58197.456850528644</v>
      </c>
    </row>
    <row r="329" spans="2:7" x14ac:dyDescent="0.25">
      <c r="B329" s="10">
        <v>319</v>
      </c>
      <c r="C329" s="16">
        <f t="shared" si="20"/>
        <v>1610.4648690364172</v>
      </c>
      <c r="D329" s="16">
        <f t="shared" si="17"/>
        <v>242.48940354386934</v>
      </c>
      <c r="E329" s="16">
        <f t="shared" si="18"/>
        <v>1367.9754654925478</v>
      </c>
      <c r="F329" s="16"/>
      <c r="G329" s="16">
        <f t="shared" si="19"/>
        <v>56829.481385036095</v>
      </c>
    </row>
    <row r="330" spans="2:7" x14ac:dyDescent="0.25">
      <c r="B330" s="10">
        <v>320</v>
      </c>
      <c r="C330" s="16">
        <f t="shared" si="20"/>
        <v>1610.4648690364172</v>
      </c>
      <c r="D330" s="16">
        <f t="shared" si="17"/>
        <v>236.78950577098374</v>
      </c>
      <c r="E330" s="16">
        <f t="shared" si="18"/>
        <v>1373.6753632654336</v>
      </c>
      <c r="F330" s="16"/>
      <c r="G330" s="16">
        <f t="shared" si="19"/>
        <v>55455.806021770659</v>
      </c>
    </row>
    <row r="331" spans="2:7" x14ac:dyDescent="0.25">
      <c r="B331" s="10">
        <v>321</v>
      </c>
      <c r="C331" s="16">
        <f t="shared" si="20"/>
        <v>1610.4648690364172</v>
      </c>
      <c r="D331" s="16">
        <f t="shared" si="17"/>
        <v>231.06585842404442</v>
      </c>
      <c r="E331" s="16">
        <f t="shared" si="18"/>
        <v>1379.3990106123729</v>
      </c>
      <c r="F331" s="16"/>
      <c r="G331" s="16">
        <f t="shared" si="19"/>
        <v>54076.407011158284</v>
      </c>
    </row>
    <row r="332" spans="2:7" x14ac:dyDescent="0.25">
      <c r="B332" s="10">
        <v>322</v>
      </c>
      <c r="C332" s="16">
        <f t="shared" si="20"/>
        <v>1610.4648690364172</v>
      </c>
      <c r="D332" s="16">
        <f t="shared" ref="D332:D370" si="21">G331*$C$4</f>
        <v>225.31836254649284</v>
      </c>
      <c r="E332" s="16">
        <f t="shared" ref="E332:E370" si="22">C332-D332</f>
        <v>1385.1465064899244</v>
      </c>
      <c r="F332" s="16"/>
      <c r="G332" s="16">
        <f t="shared" ref="G332:G370" si="23">G331-F332-E332</f>
        <v>52691.26050466836</v>
      </c>
    </row>
    <row r="333" spans="2:7" x14ac:dyDescent="0.25">
      <c r="B333" s="10">
        <v>323</v>
      </c>
      <c r="C333" s="16">
        <f t="shared" si="20"/>
        <v>1610.4648690364172</v>
      </c>
      <c r="D333" s="16">
        <f t="shared" si="21"/>
        <v>219.54691876945151</v>
      </c>
      <c r="E333" s="16">
        <f t="shared" si="22"/>
        <v>1390.9179502669658</v>
      </c>
      <c r="F333" s="16"/>
      <c r="G333" s="16">
        <f t="shared" si="23"/>
        <v>51300.342554401395</v>
      </c>
    </row>
    <row r="334" spans="2:7" x14ac:dyDescent="0.25">
      <c r="B334" s="10">
        <v>324</v>
      </c>
      <c r="C334" s="16">
        <f t="shared" si="20"/>
        <v>1610.4648690364172</v>
      </c>
      <c r="D334" s="16">
        <f t="shared" si="21"/>
        <v>213.75142731000582</v>
      </c>
      <c r="E334" s="16">
        <f t="shared" si="22"/>
        <v>1396.7134417264115</v>
      </c>
      <c r="F334" s="16"/>
      <c r="G334" s="16">
        <f t="shared" si="23"/>
        <v>49903.629112674986</v>
      </c>
    </row>
    <row r="335" spans="2:7" x14ac:dyDescent="0.25">
      <c r="B335" s="10">
        <v>325</v>
      </c>
      <c r="C335" s="16">
        <f t="shared" si="20"/>
        <v>1610.4648690364172</v>
      </c>
      <c r="D335" s="16">
        <f t="shared" si="21"/>
        <v>207.9317879694791</v>
      </c>
      <c r="E335" s="16">
        <f t="shared" si="22"/>
        <v>1402.5330810669382</v>
      </c>
      <c r="F335" s="16"/>
      <c r="G335" s="16">
        <f t="shared" si="23"/>
        <v>48501.096031608045</v>
      </c>
    </row>
    <row r="336" spans="2:7" x14ac:dyDescent="0.25">
      <c r="B336" s="10">
        <v>326</v>
      </c>
      <c r="C336" s="16">
        <f t="shared" si="20"/>
        <v>1610.4648690364172</v>
      </c>
      <c r="D336" s="16">
        <f t="shared" si="21"/>
        <v>202.0879001317002</v>
      </c>
      <c r="E336" s="16">
        <f t="shared" si="22"/>
        <v>1408.3769689047169</v>
      </c>
      <c r="F336" s="16"/>
      <c r="G336" s="16">
        <f t="shared" si="23"/>
        <v>47092.719062703327</v>
      </c>
    </row>
    <row r="337" spans="2:7" x14ac:dyDescent="0.25">
      <c r="B337" s="10">
        <v>327</v>
      </c>
      <c r="C337" s="16">
        <f t="shared" si="20"/>
        <v>1610.4648690364172</v>
      </c>
      <c r="D337" s="16">
        <f t="shared" si="21"/>
        <v>196.21966276126386</v>
      </c>
      <c r="E337" s="16">
        <f t="shared" si="22"/>
        <v>1414.2452062751534</v>
      </c>
      <c r="F337" s="16"/>
      <c r="G337" s="16">
        <f t="shared" si="23"/>
        <v>45678.473856428172</v>
      </c>
    </row>
    <row r="338" spans="2:7" x14ac:dyDescent="0.25">
      <c r="B338" s="10">
        <v>328</v>
      </c>
      <c r="C338" s="16">
        <f t="shared" si="20"/>
        <v>1610.4648690364172</v>
      </c>
      <c r="D338" s="16">
        <f t="shared" si="21"/>
        <v>190.32697440178404</v>
      </c>
      <c r="E338" s="16">
        <f t="shared" si="22"/>
        <v>1420.1378946346331</v>
      </c>
      <c r="F338" s="16"/>
      <c r="G338" s="16">
        <f t="shared" si="23"/>
        <v>44258.335961793542</v>
      </c>
    </row>
    <row r="339" spans="2:7" x14ac:dyDescent="0.25">
      <c r="B339" s="10">
        <v>329</v>
      </c>
      <c r="C339" s="16">
        <f t="shared" si="20"/>
        <v>1610.4648690364172</v>
      </c>
      <c r="D339" s="16">
        <f t="shared" si="21"/>
        <v>184.40973317413975</v>
      </c>
      <c r="E339" s="16">
        <f t="shared" si="22"/>
        <v>1426.0551358622774</v>
      </c>
      <c r="F339" s="16"/>
      <c r="G339" s="16">
        <f t="shared" si="23"/>
        <v>42832.280825931266</v>
      </c>
    </row>
    <row r="340" spans="2:7" x14ac:dyDescent="0.25">
      <c r="B340" s="10">
        <v>330</v>
      </c>
      <c r="C340" s="16">
        <f t="shared" si="20"/>
        <v>1610.4648690364172</v>
      </c>
      <c r="D340" s="16">
        <f t="shared" si="21"/>
        <v>178.46783677471362</v>
      </c>
      <c r="E340" s="16">
        <f t="shared" si="22"/>
        <v>1431.9970322617037</v>
      </c>
      <c r="F340" s="16"/>
      <c r="G340" s="16">
        <f t="shared" si="23"/>
        <v>41400.283793669565</v>
      </c>
    </row>
    <row r="341" spans="2:7" x14ac:dyDescent="0.25">
      <c r="B341" s="10">
        <v>331</v>
      </c>
      <c r="C341" s="16">
        <f t="shared" si="20"/>
        <v>1610.4648690364172</v>
      </c>
      <c r="D341" s="16">
        <f t="shared" si="21"/>
        <v>172.50118247362317</v>
      </c>
      <c r="E341" s="16">
        <f t="shared" si="22"/>
        <v>1437.963686562794</v>
      </c>
      <c r="F341" s="16"/>
      <c r="G341" s="16">
        <f t="shared" si="23"/>
        <v>39962.320107106774</v>
      </c>
    </row>
    <row r="342" spans="2:7" x14ac:dyDescent="0.25">
      <c r="B342" s="10">
        <v>332</v>
      </c>
      <c r="C342" s="16">
        <f t="shared" si="20"/>
        <v>1610.4648690364172</v>
      </c>
      <c r="D342" s="16">
        <f t="shared" si="21"/>
        <v>166.5096671129449</v>
      </c>
      <c r="E342" s="16">
        <f t="shared" si="22"/>
        <v>1443.9552019234723</v>
      </c>
      <c r="F342" s="16"/>
      <c r="G342" s="16">
        <f t="shared" si="23"/>
        <v>38518.364905183305</v>
      </c>
    </row>
    <row r="343" spans="2:7" x14ac:dyDescent="0.25">
      <c r="B343" s="10">
        <v>333</v>
      </c>
      <c r="C343" s="16">
        <f t="shared" si="20"/>
        <v>1610.4648690364172</v>
      </c>
      <c r="D343" s="16">
        <f t="shared" si="21"/>
        <v>160.49318710493043</v>
      </c>
      <c r="E343" s="16">
        <f t="shared" si="22"/>
        <v>1449.9716819314867</v>
      </c>
      <c r="F343" s="16"/>
      <c r="G343" s="16">
        <f t="shared" si="23"/>
        <v>37068.39322325182</v>
      </c>
    </row>
    <row r="344" spans="2:7" x14ac:dyDescent="0.25">
      <c r="B344" s="10">
        <v>334</v>
      </c>
      <c r="C344" s="16">
        <f t="shared" si="20"/>
        <v>1610.4648690364172</v>
      </c>
      <c r="D344" s="16">
        <f t="shared" si="21"/>
        <v>154.45163843021592</v>
      </c>
      <c r="E344" s="16">
        <f t="shared" si="22"/>
        <v>1456.0132306062012</v>
      </c>
      <c r="F344" s="16"/>
      <c r="G344" s="16">
        <f t="shared" si="23"/>
        <v>35612.379992645619</v>
      </c>
    </row>
    <row r="345" spans="2:7" x14ac:dyDescent="0.25">
      <c r="B345" s="10">
        <v>335</v>
      </c>
      <c r="C345" s="16">
        <f t="shared" si="20"/>
        <v>1610.4648690364172</v>
      </c>
      <c r="D345" s="16">
        <f t="shared" si="21"/>
        <v>148.38491663602341</v>
      </c>
      <c r="E345" s="16">
        <f t="shared" si="22"/>
        <v>1462.0799524003937</v>
      </c>
      <c r="F345" s="16"/>
      <c r="G345" s="16">
        <f t="shared" si="23"/>
        <v>34150.300040245223</v>
      </c>
    </row>
    <row r="346" spans="2:7" x14ac:dyDescent="0.25">
      <c r="B346" s="10">
        <v>336</v>
      </c>
      <c r="C346" s="16">
        <f t="shared" ref="C346:C370" si="24">IF(G345&lt;$C$7,G345*(1+$C$4),$C$7)</f>
        <v>1610.4648690364172</v>
      </c>
      <c r="D346" s="16">
        <f t="shared" si="21"/>
        <v>142.29291683435508</v>
      </c>
      <c r="E346" s="16">
        <f t="shared" si="22"/>
        <v>1468.1719522020621</v>
      </c>
      <c r="F346" s="16"/>
      <c r="G346" s="16">
        <f t="shared" si="23"/>
        <v>32682.128088043162</v>
      </c>
    </row>
    <row r="347" spans="2:7" x14ac:dyDescent="0.25">
      <c r="B347" s="10">
        <v>337</v>
      </c>
      <c r="C347" s="16">
        <f t="shared" si="24"/>
        <v>1610.4648690364172</v>
      </c>
      <c r="D347" s="16">
        <f t="shared" si="21"/>
        <v>136.17553370017984</v>
      </c>
      <c r="E347" s="16">
        <f t="shared" si="22"/>
        <v>1474.2893353362374</v>
      </c>
      <c r="F347" s="16"/>
      <c r="G347" s="16">
        <f t="shared" si="23"/>
        <v>31207.838752706924</v>
      </c>
    </row>
    <row r="348" spans="2:7" x14ac:dyDescent="0.25">
      <c r="B348" s="10">
        <v>338</v>
      </c>
      <c r="C348" s="16">
        <f t="shared" si="24"/>
        <v>1610.4648690364172</v>
      </c>
      <c r="D348" s="16">
        <f t="shared" si="21"/>
        <v>130.03266146961218</v>
      </c>
      <c r="E348" s="16">
        <f t="shared" si="22"/>
        <v>1480.4322075668051</v>
      </c>
      <c r="F348" s="16"/>
      <c r="G348" s="16">
        <f t="shared" si="23"/>
        <v>29727.406545140118</v>
      </c>
    </row>
    <row r="349" spans="2:7" x14ac:dyDescent="0.25">
      <c r="B349" s="10">
        <v>339</v>
      </c>
      <c r="C349" s="16">
        <f t="shared" si="24"/>
        <v>1610.4648690364172</v>
      </c>
      <c r="D349" s="16">
        <f t="shared" si="21"/>
        <v>123.86419393808383</v>
      </c>
      <c r="E349" s="16">
        <f t="shared" si="22"/>
        <v>1486.6006750983333</v>
      </c>
      <c r="F349" s="16"/>
      <c r="G349" s="16">
        <f t="shared" si="23"/>
        <v>28240.805870041786</v>
      </c>
    </row>
    <row r="350" spans="2:7" x14ac:dyDescent="0.25">
      <c r="B350" s="10">
        <v>340</v>
      </c>
      <c r="C350" s="16">
        <f t="shared" si="24"/>
        <v>1610.4648690364172</v>
      </c>
      <c r="D350" s="16">
        <f t="shared" si="21"/>
        <v>117.67002445850744</v>
      </c>
      <c r="E350" s="16">
        <f t="shared" si="22"/>
        <v>1492.7948445779098</v>
      </c>
      <c r="F350" s="16"/>
      <c r="G350" s="16">
        <f t="shared" si="23"/>
        <v>26748.011025463875</v>
      </c>
    </row>
    <row r="351" spans="2:7" x14ac:dyDescent="0.25">
      <c r="B351" s="10">
        <v>341</v>
      </c>
      <c r="C351" s="16">
        <f t="shared" si="24"/>
        <v>1610.4648690364172</v>
      </c>
      <c r="D351" s="16">
        <f t="shared" si="21"/>
        <v>111.45004593943281</v>
      </c>
      <c r="E351" s="16">
        <f t="shared" si="22"/>
        <v>1499.0148230969844</v>
      </c>
      <c r="F351" s="16"/>
      <c r="G351" s="16">
        <f t="shared" si="23"/>
        <v>25248.996202366892</v>
      </c>
    </row>
    <row r="352" spans="2:7" x14ac:dyDescent="0.25">
      <c r="B352" s="10">
        <v>342</v>
      </c>
      <c r="C352" s="16">
        <f t="shared" si="24"/>
        <v>1610.4648690364172</v>
      </c>
      <c r="D352" s="16">
        <f t="shared" si="21"/>
        <v>105.20415084319538</v>
      </c>
      <c r="E352" s="16">
        <f t="shared" si="22"/>
        <v>1505.2607181932219</v>
      </c>
      <c r="F352" s="16"/>
      <c r="G352" s="16">
        <f t="shared" si="23"/>
        <v>23743.735484173671</v>
      </c>
    </row>
    <row r="353" spans="2:7" x14ac:dyDescent="0.25">
      <c r="B353" s="10">
        <v>343</v>
      </c>
      <c r="C353" s="16">
        <f t="shared" si="24"/>
        <v>1610.4648690364172</v>
      </c>
      <c r="D353" s="16">
        <f t="shared" si="21"/>
        <v>98.93223118405696</v>
      </c>
      <c r="E353" s="16">
        <f t="shared" si="22"/>
        <v>1511.5326378523603</v>
      </c>
      <c r="F353" s="16"/>
      <c r="G353" s="16">
        <f t="shared" si="23"/>
        <v>22232.20284632131</v>
      </c>
    </row>
    <row r="354" spans="2:7" x14ac:dyDescent="0.25">
      <c r="B354" s="10">
        <v>344</v>
      </c>
      <c r="C354" s="16">
        <f t="shared" si="24"/>
        <v>1610.4648690364172</v>
      </c>
      <c r="D354" s="16">
        <f t="shared" si="21"/>
        <v>92.634178526338786</v>
      </c>
      <c r="E354" s="16">
        <f t="shared" si="22"/>
        <v>1517.8306905100785</v>
      </c>
      <c r="F354" s="16"/>
      <c r="G354" s="16">
        <f t="shared" si="23"/>
        <v>20714.37215581123</v>
      </c>
    </row>
    <row r="355" spans="2:7" x14ac:dyDescent="0.25">
      <c r="B355" s="10">
        <v>345</v>
      </c>
      <c r="C355" s="16">
        <f t="shared" si="24"/>
        <v>1610.4648690364172</v>
      </c>
      <c r="D355" s="16">
        <f t="shared" si="21"/>
        <v>86.309883982546793</v>
      </c>
      <c r="E355" s="16">
        <f t="shared" si="22"/>
        <v>1524.1549850538704</v>
      </c>
      <c r="F355" s="16"/>
      <c r="G355" s="16">
        <f t="shared" si="23"/>
        <v>19190.217170757358</v>
      </c>
    </row>
    <row r="356" spans="2:7" x14ac:dyDescent="0.25">
      <c r="B356" s="10">
        <v>346</v>
      </c>
      <c r="C356" s="16">
        <f t="shared" si="24"/>
        <v>1610.4648690364172</v>
      </c>
      <c r="D356" s="16">
        <f t="shared" si="21"/>
        <v>79.959238211488994</v>
      </c>
      <c r="E356" s="16">
        <f t="shared" si="22"/>
        <v>1530.5056308249282</v>
      </c>
      <c r="F356" s="16"/>
      <c r="G356" s="16">
        <f t="shared" si="23"/>
        <v>17659.711539932428</v>
      </c>
    </row>
    <row r="357" spans="2:7" x14ac:dyDescent="0.25">
      <c r="B357" s="10">
        <v>347</v>
      </c>
      <c r="C357" s="16">
        <f t="shared" si="24"/>
        <v>1610.4648690364172</v>
      </c>
      <c r="D357" s="16">
        <f t="shared" si="21"/>
        <v>73.582131416385124</v>
      </c>
      <c r="E357" s="16">
        <f t="shared" si="22"/>
        <v>1536.882737620032</v>
      </c>
      <c r="F357" s="16"/>
      <c r="G357" s="16">
        <f t="shared" si="23"/>
        <v>16122.828802312397</v>
      </c>
    </row>
    <row r="358" spans="2:7" x14ac:dyDescent="0.25">
      <c r="B358" s="10">
        <v>348</v>
      </c>
      <c r="C358" s="16">
        <f t="shared" si="24"/>
        <v>1610.4648690364172</v>
      </c>
      <c r="D358" s="16">
        <f t="shared" si="21"/>
        <v>67.178453342968325</v>
      </c>
      <c r="E358" s="16">
        <f t="shared" si="22"/>
        <v>1543.2864156934488</v>
      </c>
      <c r="F358" s="16"/>
      <c r="G358" s="16">
        <f t="shared" si="23"/>
        <v>14579.542386618949</v>
      </c>
    </row>
    <row r="359" spans="2:7" x14ac:dyDescent="0.25">
      <c r="B359" s="10">
        <v>349</v>
      </c>
      <c r="C359" s="16">
        <f t="shared" si="24"/>
        <v>1610.4648690364172</v>
      </c>
      <c r="D359" s="16">
        <f t="shared" si="21"/>
        <v>60.748093277578953</v>
      </c>
      <c r="E359" s="16">
        <f t="shared" si="22"/>
        <v>1549.7167757588384</v>
      </c>
      <c r="F359" s="16"/>
      <c r="G359" s="16">
        <f t="shared" si="23"/>
        <v>13029.825610860111</v>
      </c>
    </row>
    <row r="360" spans="2:7" x14ac:dyDescent="0.25">
      <c r="B360" s="10">
        <v>350</v>
      </c>
      <c r="C360" s="16">
        <f t="shared" si="24"/>
        <v>1610.4648690364172</v>
      </c>
      <c r="D360" s="16">
        <f t="shared" si="21"/>
        <v>54.290940045250458</v>
      </c>
      <c r="E360" s="16">
        <f t="shared" si="22"/>
        <v>1556.1739289911668</v>
      </c>
      <c r="F360" s="16"/>
      <c r="G360" s="16">
        <f t="shared" si="23"/>
        <v>11473.651681868943</v>
      </c>
    </row>
    <row r="361" spans="2:7" x14ac:dyDescent="0.25">
      <c r="B361" s="10">
        <v>351</v>
      </c>
      <c r="C361" s="16">
        <f t="shared" si="24"/>
        <v>1610.4648690364172</v>
      </c>
      <c r="D361" s="16">
        <f t="shared" si="21"/>
        <v>47.806882007787266</v>
      </c>
      <c r="E361" s="16">
        <f t="shared" si="22"/>
        <v>1562.65798702863</v>
      </c>
      <c r="F361" s="16"/>
      <c r="G361" s="16">
        <f t="shared" si="23"/>
        <v>9910.9936948403138</v>
      </c>
    </row>
    <row r="362" spans="2:7" x14ac:dyDescent="0.25">
      <c r="B362" s="10">
        <v>352</v>
      </c>
      <c r="C362" s="16">
        <f t="shared" si="24"/>
        <v>1610.4648690364172</v>
      </c>
      <c r="D362" s="16">
        <f t="shared" si="21"/>
        <v>41.295807061834637</v>
      </c>
      <c r="E362" s="16">
        <f t="shared" si="22"/>
        <v>1569.1690619745825</v>
      </c>
      <c r="F362" s="16"/>
      <c r="G362" s="16">
        <f t="shared" si="23"/>
        <v>8341.8246328657315</v>
      </c>
    </row>
    <row r="363" spans="2:7" x14ac:dyDescent="0.25">
      <c r="B363" s="10">
        <v>353</v>
      </c>
      <c r="C363" s="16">
        <f t="shared" si="24"/>
        <v>1610.4648690364172</v>
      </c>
      <c r="D363" s="16">
        <f t="shared" si="21"/>
        <v>34.757602636940547</v>
      </c>
      <c r="E363" s="16">
        <f t="shared" si="22"/>
        <v>1575.7072663994766</v>
      </c>
      <c r="F363" s="16"/>
      <c r="G363" s="16">
        <f t="shared" si="23"/>
        <v>6766.1173664662547</v>
      </c>
    </row>
    <row r="364" spans="2:7" x14ac:dyDescent="0.25">
      <c r="B364" s="10">
        <v>354</v>
      </c>
      <c r="C364" s="16">
        <f t="shared" si="24"/>
        <v>1610.4648690364172</v>
      </c>
      <c r="D364" s="16">
        <f t="shared" si="21"/>
        <v>28.192155693609394</v>
      </c>
      <c r="E364" s="16">
        <f t="shared" si="22"/>
        <v>1582.2727133428077</v>
      </c>
      <c r="F364" s="16"/>
      <c r="G364" s="16">
        <f t="shared" si="23"/>
        <v>5183.8446531234467</v>
      </c>
    </row>
    <row r="365" spans="2:7" x14ac:dyDescent="0.25">
      <c r="B365" s="10">
        <v>355</v>
      </c>
      <c r="C365" s="16">
        <f t="shared" si="24"/>
        <v>1610.4648690364172</v>
      </c>
      <c r="D365" s="16">
        <f t="shared" si="21"/>
        <v>21.599352721347696</v>
      </c>
      <c r="E365" s="16">
        <f t="shared" si="22"/>
        <v>1588.8655163150695</v>
      </c>
      <c r="F365" s="16"/>
      <c r="G365" s="16">
        <f t="shared" si="23"/>
        <v>3594.979136808377</v>
      </c>
    </row>
    <row r="366" spans="2:7" x14ac:dyDescent="0.25">
      <c r="B366" s="10">
        <v>356</v>
      </c>
      <c r="C366" s="16">
        <f t="shared" si="24"/>
        <v>1610.4648690364172</v>
      </c>
      <c r="D366" s="16">
        <f t="shared" si="21"/>
        <v>14.979079736701571</v>
      </c>
      <c r="E366" s="16">
        <f t="shared" si="22"/>
        <v>1595.4857892997156</v>
      </c>
      <c r="F366" s="16"/>
      <c r="G366" s="16">
        <f t="shared" si="23"/>
        <v>1999.4933475086614</v>
      </c>
    </row>
    <row r="367" spans="2:7" x14ac:dyDescent="0.25">
      <c r="B367" s="10">
        <v>357</v>
      </c>
      <c r="C367" s="16">
        <f t="shared" si="24"/>
        <v>1610.4648690364172</v>
      </c>
      <c r="D367" s="16">
        <f t="shared" si="21"/>
        <v>8.3312222812860881</v>
      </c>
      <c r="E367" s="16">
        <f t="shared" si="22"/>
        <v>1602.1336467551312</v>
      </c>
      <c r="F367" s="16"/>
      <c r="G367" s="16">
        <f t="shared" si="23"/>
        <v>397.35970075353021</v>
      </c>
    </row>
    <row r="368" spans="2:7" x14ac:dyDescent="0.25">
      <c r="B368" s="10">
        <v>358</v>
      </c>
      <c r="C368" s="16">
        <f t="shared" si="24"/>
        <v>399.01536617333659</v>
      </c>
      <c r="D368" s="16">
        <f t="shared" si="21"/>
        <v>1.6556654198063758</v>
      </c>
      <c r="E368" s="16">
        <f t="shared" si="22"/>
        <v>397.35970075353021</v>
      </c>
      <c r="F368" s="16"/>
      <c r="G368" s="16">
        <f t="shared" si="23"/>
        <v>0</v>
      </c>
    </row>
    <row r="369" spans="2:7" x14ac:dyDescent="0.25">
      <c r="B369" s="10">
        <v>359</v>
      </c>
      <c r="C369" s="16">
        <f t="shared" si="24"/>
        <v>0</v>
      </c>
      <c r="D369" s="16">
        <f t="shared" si="21"/>
        <v>0</v>
      </c>
      <c r="E369" s="16">
        <f t="shared" si="22"/>
        <v>0</v>
      </c>
      <c r="F369" s="16"/>
      <c r="G369" s="16">
        <f t="shared" si="23"/>
        <v>0</v>
      </c>
    </row>
    <row r="370" spans="2:7" x14ac:dyDescent="0.25">
      <c r="B370" s="10">
        <v>360</v>
      </c>
      <c r="C370" s="16">
        <f t="shared" si="24"/>
        <v>0</v>
      </c>
      <c r="D370" s="16">
        <f t="shared" si="21"/>
        <v>0</v>
      </c>
      <c r="E370" s="16">
        <f t="shared" si="22"/>
        <v>0</v>
      </c>
      <c r="F370" s="16"/>
      <c r="G370" s="16">
        <f t="shared" si="23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5EEAD-72A6-4408-8D41-2314604E83D2}">
  <dimension ref="B2:G370"/>
  <sheetViews>
    <sheetView workbookViewId="0">
      <selection activeCell="I22" sqref="I22"/>
    </sheetView>
  </sheetViews>
  <sheetFormatPr defaultRowHeight="15" x14ac:dyDescent="0.25"/>
  <cols>
    <col min="2" max="7" width="15.7109375" customWidth="1"/>
  </cols>
  <sheetData>
    <row r="2" spans="2:7" x14ac:dyDescent="0.25">
      <c r="B2" s="20" t="s">
        <v>2</v>
      </c>
      <c r="C2" s="5">
        <v>300000</v>
      </c>
      <c r="E2" s="21" t="s">
        <v>14</v>
      </c>
      <c r="F2" s="13">
        <v>279767.34999999998</v>
      </c>
    </row>
    <row r="3" spans="2:7" x14ac:dyDescent="0.25">
      <c r="B3" s="20" t="s">
        <v>3</v>
      </c>
      <c r="C3" s="7">
        <v>0.05</v>
      </c>
      <c r="E3" s="21" t="s">
        <v>15</v>
      </c>
      <c r="F3" s="13">
        <f>SUMIF(D11:D370, "&gt;0")</f>
        <v>109151.12478544995</v>
      </c>
    </row>
    <row r="4" spans="2:7" x14ac:dyDescent="0.25">
      <c r="B4" s="20" t="s">
        <v>4</v>
      </c>
      <c r="C4" s="6">
        <f>C3/12</f>
        <v>4.1666666666666666E-3</v>
      </c>
      <c r="E4" s="21" t="s">
        <v>16</v>
      </c>
      <c r="F4" s="13">
        <f>F2-F3</f>
        <v>170616.22521455004</v>
      </c>
    </row>
    <row r="5" spans="2:7" x14ac:dyDescent="0.25">
      <c r="B5" s="20" t="s">
        <v>5</v>
      </c>
      <c r="C5" s="4">
        <v>30</v>
      </c>
      <c r="E5" s="21" t="s">
        <v>20</v>
      </c>
      <c r="F5" s="17">
        <f>COUNTIF(C11:C370,"&gt;0")</f>
        <v>158</v>
      </c>
    </row>
    <row r="6" spans="2:7" x14ac:dyDescent="0.25">
      <c r="B6" s="20" t="s">
        <v>6</v>
      </c>
      <c r="C6" s="3">
        <f>C5*12</f>
        <v>360</v>
      </c>
    </row>
    <row r="7" spans="2:7" x14ac:dyDescent="0.25">
      <c r="B7" s="20" t="s">
        <v>7</v>
      </c>
      <c r="C7" s="8">
        <f>-PMT(C4,C6,C2)</f>
        <v>1610.4648690364172</v>
      </c>
    </row>
    <row r="9" spans="2:7" x14ac:dyDescent="0.25">
      <c r="B9" s="22" t="s">
        <v>8</v>
      </c>
      <c r="C9" s="22" t="s">
        <v>9</v>
      </c>
      <c r="D9" s="22" t="s">
        <v>10</v>
      </c>
      <c r="E9" s="22" t="s">
        <v>11</v>
      </c>
      <c r="F9" s="22" t="s">
        <v>12</v>
      </c>
      <c r="G9" s="22" t="s">
        <v>13</v>
      </c>
    </row>
    <row r="10" spans="2:7" x14ac:dyDescent="0.25">
      <c r="B10" s="10">
        <v>0</v>
      </c>
      <c r="C10" s="16"/>
      <c r="D10" s="16"/>
      <c r="E10" s="16"/>
      <c r="F10" s="16"/>
      <c r="G10" s="16">
        <f>C2</f>
        <v>300000</v>
      </c>
    </row>
    <row r="11" spans="2:7" x14ac:dyDescent="0.25">
      <c r="B11" s="10">
        <v>1</v>
      </c>
      <c r="C11" s="16">
        <f>$C$7</f>
        <v>1610.4648690364172</v>
      </c>
      <c r="D11" s="16">
        <f>G10*$C$4</f>
        <v>1250</v>
      </c>
      <c r="E11" s="16">
        <f>C11-D11</f>
        <v>360.46486903641721</v>
      </c>
      <c r="F11" s="16">
        <v>1000</v>
      </c>
      <c r="G11" s="16">
        <f>G10-F11-E11</f>
        <v>298639.5351309636</v>
      </c>
    </row>
    <row r="12" spans="2:7" x14ac:dyDescent="0.25">
      <c r="B12" s="10">
        <v>2</v>
      </c>
      <c r="C12" s="16">
        <f t="shared" ref="C12:C24" si="0">$C$7</f>
        <v>1610.4648690364172</v>
      </c>
      <c r="D12" s="16">
        <f t="shared" ref="D12:D75" si="1">G11*$C$4</f>
        <v>1244.3313963790149</v>
      </c>
      <c r="E12" s="16">
        <f t="shared" ref="E12:E75" si="2">C12-D12</f>
        <v>366.13347265740231</v>
      </c>
      <c r="F12" s="16">
        <v>1000</v>
      </c>
      <c r="G12" s="16">
        <f t="shared" ref="G12:G75" si="3">G11-F12-E12</f>
        <v>297273.40165830619</v>
      </c>
    </row>
    <row r="13" spans="2:7" x14ac:dyDescent="0.25">
      <c r="B13" s="10">
        <v>3</v>
      </c>
      <c r="C13" s="16">
        <f t="shared" si="0"/>
        <v>1610.4648690364172</v>
      </c>
      <c r="D13" s="16">
        <f t="shared" si="1"/>
        <v>1238.6391735762759</v>
      </c>
      <c r="E13" s="16">
        <f t="shared" si="2"/>
        <v>371.82569546014133</v>
      </c>
      <c r="F13" s="16">
        <v>1000</v>
      </c>
      <c r="G13" s="16">
        <f t="shared" si="3"/>
        <v>295901.57596284605</v>
      </c>
    </row>
    <row r="14" spans="2:7" x14ac:dyDescent="0.25">
      <c r="B14" s="10">
        <v>4</v>
      </c>
      <c r="C14" s="16">
        <f t="shared" si="0"/>
        <v>1610.4648690364172</v>
      </c>
      <c r="D14" s="16">
        <f t="shared" si="1"/>
        <v>1232.9232331785252</v>
      </c>
      <c r="E14" s="16">
        <f t="shared" si="2"/>
        <v>377.54163585789206</v>
      </c>
      <c r="F14" s="16">
        <v>1000</v>
      </c>
      <c r="G14" s="16">
        <f t="shared" si="3"/>
        <v>294524.03432698816</v>
      </c>
    </row>
    <row r="15" spans="2:7" x14ac:dyDescent="0.25">
      <c r="B15" s="10">
        <v>5</v>
      </c>
      <c r="C15" s="16">
        <f t="shared" si="0"/>
        <v>1610.4648690364172</v>
      </c>
      <c r="D15" s="16">
        <f t="shared" si="1"/>
        <v>1227.1834763624506</v>
      </c>
      <c r="E15" s="16">
        <f t="shared" si="2"/>
        <v>383.28139267396659</v>
      </c>
      <c r="F15" s="16">
        <v>1000</v>
      </c>
      <c r="G15" s="16">
        <f t="shared" si="3"/>
        <v>293140.75293431419</v>
      </c>
    </row>
    <row r="16" spans="2:7" x14ac:dyDescent="0.25">
      <c r="B16" s="10">
        <v>6</v>
      </c>
      <c r="C16" s="16">
        <f t="shared" si="0"/>
        <v>1610.4648690364172</v>
      </c>
      <c r="D16" s="16">
        <f t="shared" si="1"/>
        <v>1221.4198038929758</v>
      </c>
      <c r="E16" s="16">
        <f t="shared" si="2"/>
        <v>389.04506514344143</v>
      </c>
      <c r="F16" s="16">
        <v>1000</v>
      </c>
      <c r="G16" s="16">
        <f t="shared" si="3"/>
        <v>291751.70786917076</v>
      </c>
    </row>
    <row r="17" spans="2:7" x14ac:dyDescent="0.25">
      <c r="B17" s="10">
        <v>7</v>
      </c>
      <c r="C17" s="16">
        <f t="shared" si="0"/>
        <v>1610.4648690364172</v>
      </c>
      <c r="D17" s="16">
        <f t="shared" si="1"/>
        <v>1215.6321161215449</v>
      </c>
      <c r="E17" s="16">
        <f t="shared" si="2"/>
        <v>394.83275291487234</v>
      </c>
      <c r="F17" s="16">
        <v>1000</v>
      </c>
      <c r="G17" s="16">
        <f t="shared" si="3"/>
        <v>290356.87511625589</v>
      </c>
    </row>
    <row r="18" spans="2:7" x14ac:dyDescent="0.25">
      <c r="B18" s="10">
        <v>8</v>
      </c>
      <c r="C18" s="16">
        <f t="shared" si="0"/>
        <v>1610.4648690364172</v>
      </c>
      <c r="D18" s="16">
        <f t="shared" si="1"/>
        <v>1209.8203129843996</v>
      </c>
      <c r="E18" s="16">
        <f t="shared" si="2"/>
        <v>400.64455605201761</v>
      </c>
      <c r="F18" s="16">
        <v>1000</v>
      </c>
      <c r="G18" s="16">
        <f t="shared" si="3"/>
        <v>288956.2305602039</v>
      </c>
    </row>
    <row r="19" spans="2:7" x14ac:dyDescent="0.25">
      <c r="B19" s="10">
        <v>9</v>
      </c>
      <c r="C19" s="16">
        <f t="shared" si="0"/>
        <v>1610.4648690364172</v>
      </c>
      <c r="D19" s="16">
        <f t="shared" si="1"/>
        <v>1203.9842940008496</v>
      </c>
      <c r="E19" s="16">
        <f t="shared" si="2"/>
        <v>406.48057503556765</v>
      </c>
      <c r="F19" s="16">
        <v>1000</v>
      </c>
      <c r="G19" s="16">
        <f t="shared" si="3"/>
        <v>287549.74998516834</v>
      </c>
    </row>
    <row r="20" spans="2:7" x14ac:dyDescent="0.25">
      <c r="B20" s="10">
        <v>10</v>
      </c>
      <c r="C20" s="16">
        <f t="shared" si="0"/>
        <v>1610.4648690364172</v>
      </c>
      <c r="D20" s="16">
        <f t="shared" si="1"/>
        <v>1198.1239582715348</v>
      </c>
      <c r="E20" s="16">
        <f t="shared" si="2"/>
        <v>412.34091076488244</v>
      </c>
      <c r="F20" s="16">
        <v>1000</v>
      </c>
      <c r="G20" s="16">
        <f t="shared" si="3"/>
        <v>286137.40907440346</v>
      </c>
    </row>
    <row r="21" spans="2:7" x14ac:dyDescent="0.25">
      <c r="B21" s="10">
        <v>11</v>
      </c>
      <c r="C21" s="16">
        <f t="shared" si="0"/>
        <v>1610.4648690364172</v>
      </c>
      <c r="D21" s="16">
        <f t="shared" si="1"/>
        <v>1192.2392044766812</v>
      </c>
      <c r="E21" s="16">
        <f t="shared" si="2"/>
        <v>418.22566455973606</v>
      </c>
      <c r="F21" s="16">
        <v>1000</v>
      </c>
      <c r="G21" s="16">
        <f t="shared" si="3"/>
        <v>284719.18340984371</v>
      </c>
    </row>
    <row r="22" spans="2:7" x14ac:dyDescent="0.25">
      <c r="B22" s="10">
        <v>12</v>
      </c>
      <c r="C22" s="16">
        <f t="shared" si="0"/>
        <v>1610.4648690364172</v>
      </c>
      <c r="D22" s="16">
        <f t="shared" si="1"/>
        <v>1186.3299308743487</v>
      </c>
      <c r="E22" s="16">
        <f t="shared" si="2"/>
        <v>424.13493816206847</v>
      </c>
      <c r="F22" s="16">
        <v>1000</v>
      </c>
      <c r="G22" s="16">
        <f t="shared" si="3"/>
        <v>283295.04847168166</v>
      </c>
    </row>
    <row r="23" spans="2:7" x14ac:dyDescent="0.25">
      <c r="B23" s="10">
        <v>13</v>
      </c>
      <c r="C23" s="16">
        <f t="shared" si="0"/>
        <v>1610.4648690364172</v>
      </c>
      <c r="D23" s="16">
        <f t="shared" si="1"/>
        <v>1180.3960352986735</v>
      </c>
      <c r="E23" s="16">
        <f t="shared" si="2"/>
        <v>430.06883373774372</v>
      </c>
      <c r="F23" s="16">
        <v>1000</v>
      </c>
      <c r="G23" s="16">
        <f t="shared" si="3"/>
        <v>281864.97963794391</v>
      </c>
    </row>
    <row r="24" spans="2:7" x14ac:dyDescent="0.25">
      <c r="B24" s="10">
        <v>14</v>
      </c>
      <c r="C24" s="16">
        <f t="shared" si="0"/>
        <v>1610.4648690364172</v>
      </c>
      <c r="D24" s="16">
        <f t="shared" si="1"/>
        <v>1174.4374151580996</v>
      </c>
      <c r="E24" s="16">
        <f t="shared" si="2"/>
        <v>436.0274538783176</v>
      </c>
      <c r="F24" s="16">
        <v>1000</v>
      </c>
      <c r="G24" s="16">
        <f t="shared" si="3"/>
        <v>280428.95218406559</v>
      </c>
    </row>
    <row r="25" spans="2:7" x14ac:dyDescent="0.25">
      <c r="B25" s="10">
        <v>15</v>
      </c>
      <c r="C25" s="16">
        <f>IF(G24&lt;$C$7,G24*(1+$C$4),$C$7)</f>
        <v>1610.4648690364172</v>
      </c>
      <c r="D25" s="16">
        <f t="shared" si="1"/>
        <v>1168.4539674336065</v>
      </c>
      <c r="E25" s="16">
        <f t="shared" si="2"/>
        <v>442.01090160281069</v>
      </c>
      <c r="F25" s="16">
        <v>1000</v>
      </c>
      <c r="G25" s="16">
        <f t="shared" si="3"/>
        <v>278986.94128246279</v>
      </c>
    </row>
    <row r="26" spans="2:7" x14ac:dyDescent="0.25">
      <c r="B26" s="10">
        <v>16</v>
      </c>
      <c r="C26" s="16">
        <f t="shared" ref="C26:C89" si="4">IF(G25&lt;$C$7,G25*(1+$C$4),$C$7)</f>
        <v>1610.4648690364172</v>
      </c>
      <c r="D26" s="16">
        <f t="shared" si="1"/>
        <v>1162.4455886769283</v>
      </c>
      <c r="E26" s="16">
        <f t="shared" si="2"/>
        <v>448.0192803594889</v>
      </c>
      <c r="F26" s="16">
        <v>1000</v>
      </c>
      <c r="G26" s="16">
        <f t="shared" si="3"/>
        <v>277538.9220021033</v>
      </c>
    </row>
    <row r="27" spans="2:7" x14ac:dyDescent="0.25">
      <c r="B27" s="10">
        <v>17</v>
      </c>
      <c r="C27" s="16">
        <f t="shared" si="4"/>
        <v>1610.4648690364172</v>
      </c>
      <c r="D27" s="16">
        <f t="shared" si="1"/>
        <v>1156.4121750087638</v>
      </c>
      <c r="E27" s="16">
        <f t="shared" si="2"/>
        <v>454.05269402765339</v>
      </c>
      <c r="F27" s="16">
        <v>1000</v>
      </c>
      <c r="G27" s="16">
        <f t="shared" si="3"/>
        <v>276084.86930807563</v>
      </c>
    </row>
    <row r="28" spans="2:7" x14ac:dyDescent="0.25">
      <c r="B28" s="10">
        <v>18</v>
      </c>
      <c r="C28" s="16">
        <f t="shared" si="4"/>
        <v>1610.4648690364172</v>
      </c>
      <c r="D28" s="16">
        <f t="shared" si="1"/>
        <v>1150.3536221169818</v>
      </c>
      <c r="E28" s="16">
        <f t="shared" si="2"/>
        <v>460.11124691943542</v>
      </c>
      <c r="F28" s="16">
        <v>1000</v>
      </c>
      <c r="G28" s="16">
        <f t="shared" si="3"/>
        <v>274624.7580611562</v>
      </c>
    </row>
    <row r="29" spans="2:7" x14ac:dyDescent="0.25">
      <c r="B29" s="10">
        <v>19</v>
      </c>
      <c r="C29" s="16">
        <f t="shared" si="4"/>
        <v>1610.4648690364172</v>
      </c>
      <c r="D29" s="16">
        <f t="shared" si="1"/>
        <v>1144.2698252548175</v>
      </c>
      <c r="E29" s="16">
        <f t="shared" si="2"/>
        <v>466.19504378159968</v>
      </c>
      <c r="F29" s="16">
        <v>1000</v>
      </c>
      <c r="G29" s="16">
        <f t="shared" si="3"/>
        <v>273158.5630173746</v>
      </c>
    </row>
    <row r="30" spans="2:7" x14ac:dyDescent="0.25">
      <c r="B30" s="10">
        <v>20</v>
      </c>
      <c r="C30" s="16">
        <f t="shared" si="4"/>
        <v>1610.4648690364172</v>
      </c>
      <c r="D30" s="16">
        <f t="shared" si="1"/>
        <v>1138.1606792390608</v>
      </c>
      <c r="E30" s="16">
        <f t="shared" si="2"/>
        <v>472.30418979735646</v>
      </c>
      <c r="F30" s="16">
        <v>1000</v>
      </c>
      <c r="G30" s="16">
        <f t="shared" si="3"/>
        <v>271686.25882757723</v>
      </c>
    </row>
    <row r="31" spans="2:7" x14ac:dyDescent="0.25">
      <c r="B31" s="10">
        <v>21</v>
      </c>
      <c r="C31" s="16">
        <f t="shared" si="4"/>
        <v>1610.4648690364172</v>
      </c>
      <c r="D31" s="16">
        <f t="shared" si="1"/>
        <v>1132.0260784482384</v>
      </c>
      <c r="E31" s="16">
        <f t="shared" si="2"/>
        <v>478.43879058817879</v>
      </c>
      <c r="F31" s="16">
        <v>1000</v>
      </c>
      <c r="G31" s="16">
        <f t="shared" si="3"/>
        <v>270207.82003698905</v>
      </c>
    </row>
    <row r="32" spans="2:7" x14ac:dyDescent="0.25">
      <c r="B32" s="10">
        <v>22</v>
      </c>
      <c r="C32" s="16">
        <f t="shared" si="4"/>
        <v>1610.4648690364172</v>
      </c>
      <c r="D32" s="16">
        <f t="shared" si="1"/>
        <v>1125.8659168207878</v>
      </c>
      <c r="E32" s="16">
        <f t="shared" si="2"/>
        <v>484.59895221562942</v>
      </c>
      <c r="F32" s="16">
        <v>1000</v>
      </c>
      <c r="G32" s="16">
        <f t="shared" si="3"/>
        <v>268723.22108477342</v>
      </c>
    </row>
    <row r="33" spans="2:7" x14ac:dyDescent="0.25">
      <c r="B33" s="10">
        <v>23</v>
      </c>
      <c r="C33" s="16">
        <f t="shared" si="4"/>
        <v>1610.4648690364172</v>
      </c>
      <c r="D33" s="16">
        <f t="shared" si="1"/>
        <v>1119.6800878532226</v>
      </c>
      <c r="E33" s="16">
        <f t="shared" si="2"/>
        <v>490.78478118319458</v>
      </c>
      <c r="F33" s="16">
        <v>1000</v>
      </c>
      <c r="G33" s="16">
        <f t="shared" si="3"/>
        <v>267232.43630359025</v>
      </c>
    </row>
    <row r="34" spans="2:7" x14ac:dyDescent="0.25">
      <c r="B34" s="10">
        <v>24</v>
      </c>
      <c r="C34" s="16">
        <f t="shared" si="4"/>
        <v>1610.4648690364172</v>
      </c>
      <c r="D34" s="16">
        <f t="shared" si="1"/>
        <v>1113.4684845982927</v>
      </c>
      <c r="E34" s="16">
        <f t="shared" si="2"/>
        <v>496.99638443812455</v>
      </c>
      <c r="F34" s="16">
        <v>1000</v>
      </c>
      <c r="G34" s="16">
        <f t="shared" si="3"/>
        <v>265735.43991915212</v>
      </c>
    </row>
    <row r="35" spans="2:7" x14ac:dyDescent="0.25">
      <c r="B35" s="10">
        <v>25</v>
      </c>
      <c r="C35" s="16">
        <f t="shared" si="4"/>
        <v>1610.4648690364172</v>
      </c>
      <c r="D35" s="16">
        <f t="shared" si="1"/>
        <v>1107.2309996631338</v>
      </c>
      <c r="E35" s="16">
        <f t="shared" si="2"/>
        <v>503.23386937328337</v>
      </c>
      <c r="F35" s="16">
        <v>1000</v>
      </c>
      <c r="G35" s="16">
        <f t="shared" si="3"/>
        <v>264232.20604977885</v>
      </c>
    </row>
    <row r="36" spans="2:7" x14ac:dyDescent="0.25">
      <c r="B36" s="10">
        <v>26</v>
      </c>
      <c r="C36" s="16">
        <f t="shared" si="4"/>
        <v>1610.4648690364172</v>
      </c>
      <c r="D36" s="16">
        <f t="shared" si="1"/>
        <v>1100.9675252074119</v>
      </c>
      <c r="E36" s="16">
        <f t="shared" si="2"/>
        <v>509.49734382900533</v>
      </c>
      <c r="F36" s="16">
        <v>1000</v>
      </c>
      <c r="G36" s="16">
        <f t="shared" si="3"/>
        <v>262722.70870594983</v>
      </c>
    </row>
    <row r="37" spans="2:7" x14ac:dyDescent="0.25">
      <c r="B37" s="10">
        <v>27</v>
      </c>
      <c r="C37" s="16">
        <f t="shared" si="4"/>
        <v>1610.4648690364172</v>
      </c>
      <c r="D37" s="16">
        <f t="shared" si="1"/>
        <v>1094.6779529414575</v>
      </c>
      <c r="E37" s="16">
        <f t="shared" si="2"/>
        <v>515.78691609495968</v>
      </c>
      <c r="F37" s="16">
        <v>1000</v>
      </c>
      <c r="G37" s="16">
        <f t="shared" si="3"/>
        <v>261206.92178985488</v>
      </c>
    </row>
    <row r="38" spans="2:7" x14ac:dyDescent="0.25">
      <c r="B38" s="10">
        <v>28</v>
      </c>
      <c r="C38" s="16">
        <f t="shared" si="4"/>
        <v>1610.4648690364172</v>
      </c>
      <c r="D38" s="16">
        <f t="shared" si="1"/>
        <v>1088.3621741243953</v>
      </c>
      <c r="E38" s="16">
        <f t="shared" si="2"/>
        <v>522.10269491202189</v>
      </c>
      <c r="F38" s="16">
        <v>1000</v>
      </c>
      <c r="G38" s="16">
        <f t="shared" si="3"/>
        <v>259684.81909494285</v>
      </c>
    </row>
    <row r="39" spans="2:7" x14ac:dyDescent="0.25">
      <c r="B39" s="10">
        <v>29</v>
      </c>
      <c r="C39" s="16">
        <f t="shared" si="4"/>
        <v>1610.4648690364172</v>
      </c>
      <c r="D39" s="16">
        <f t="shared" si="1"/>
        <v>1082.0200795622618</v>
      </c>
      <c r="E39" s="16">
        <f t="shared" si="2"/>
        <v>528.44478947415541</v>
      </c>
      <c r="F39" s="16">
        <v>1000</v>
      </c>
      <c r="G39" s="16">
        <f t="shared" si="3"/>
        <v>258156.37430546869</v>
      </c>
    </row>
    <row r="40" spans="2:7" x14ac:dyDescent="0.25">
      <c r="B40" s="10">
        <v>30</v>
      </c>
      <c r="C40" s="16">
        <f t="shared" si="4"/>
        <v>1610.4648690364172</v>
      </c>
      <c r="D40" s="16">
        <f t="shared" si="1"/>
        <v>1075.6515596061195</v>
      </c>
      <c r="E40" s="16">
        <f t="shared" si="2"/>
        <v>534.81330943029775</v>
      </c>
      <c r="F40" s="16">
        <v>1000</v>
      </c>
      <c r="G40" s="16">
        <f t="shared" si="3"/>
        <v>256621.5609960384</v>
      </c>
    </row>
    <row r="41" spans="2:7" x14ac:dyDescent="0.25">
      <c r="B41" s="10">
        <v>31</v>
      </c>
      <c r="C41" s="16">
        <f t="shared" si="4"/>
        <v>1610.4648690364172</v>
      </c>
      <c r="D41" s="16">
        <f t="shared" si="1"/>
        <v>1069.25650415016</v>
      </c>
      <c r="E41" s="16">
        <f t="shared" si="2"/>
        <v>541.20836488625719</v>
      </c>
      <c r="F41" s="16">
        <v>1000</v>
      </c>
      <c r="G41" s="16">
        <f t="shared" si="3"/>
        <v>255080.35263115214</v>
      </c>
    </row>
    <row r="42" spans="2:7" x14ac:dyDescent="0.25">
      <c r="B42" s="10">
        <v>32</v>
      </c>
      <c r="C42" s="16">
        <f t="shared" si="4"/>
        <v>1610.4648690364172</v>
      </c>
      <c r="D42" s="16">
        <f t="shared" si="1"/>
        <v>1062.8348026298006</v>
      </c>
      <c r="E42" s="16">
        <f t="shared" si="2"/>
        <v>547.63006640661661</v>
      </c>
      <c r="F42" s="16">
        <v>1000</v>
      </c>
      <c r="G42" s="16">
        <f t="shared" si="3"/>
        <v>253532.72256474552</v>
      </c>
    </row>
    <row r="43" spans="2:7" x14ac:dyDescent="0.25">
      <c r="B43" s="10">
        <v>33</v>
      </c>
      <c r="C43" s="16">
        <f t="shared" si="4"/>
        <v>1610.4648690364172</v>
      </c>
      <c r="D43" s="16">
        <f t="shared" si="1"/>
        <v>1056.3863440197729</v>
      </c>
      <c r="E43" s="16">
        <f t="shared" si="2"/>
        <v>554.07852501664433</v>
      </c>
      <c r="F43" s="16">
        <v>1000</v>
      </c>
      <c r="G43" s="16">
        <f t="shared" si="3"/>
        <v>251978.64403972888</v>
      </c>
    </row>
    <row r="44" spans="2:7" x14ac:dyDescent="0.25">
      <c r="B44" s="10">
        <v>34</v>
      </c>
      <c r="C44" s="16">
        <f t="shared" si="4"/>
        <v>1610.4648690364172</v>
      </c>
      <c r="D44" s="16">
        <f t="shared" si="1"/>
        <v>1049.9110168322036</v>
      </c>
      <c r="E44" s="16">
        <f t="shared" si="2"/>
        <v>560.55385220421363</v>
      </c>
      <c r="F44" s="16">
        <v>1000</v>
      </c>
      <c r="G44" s="16">
        <f t="shared" si="3"/>
        <v>250418.09018752468</v>
      </c>
    </row>
    <row r="45" spans="2:7" x14ac:dyDescent="0.25">
      <c r="B45" s="10">
        <v>35</v>
      </c>
      <c r="C45" s="16">
        <f t="shared" si="4"/>
        <v>1610.4648690364172</v>
      </c>
      <c r="D45" s="16">
        <f t="shared" si="1"/>
        <v>1043.4087091146862</v>
      </c>
      <c r="E45" s="16">
        <f t="shared" si="2"/>
        <v>567.05615992173102</v>
      </c>
      <c r="F45" s="16">
        <v>1000</v>
      </c>
      <c r="G45" s="16">
        <f t="shared" si="3"/>
        <v>248851.03402760296</v>
      </c>
    </row>
    <row r="46" spans="2:7" x14ac:dyDescent="0.25">
      <c r="B46" s="10">
        <v>36</v>
      </c>
      <c r="C46" s="16">
        <f t="shared" si="4"/>
        <v>1610.4648690364172</v>
      </c>
      <c r="D46" s="16">
        <f t="shared" si="1"/>
        <v>1036.8793084483457</v>
      </c>
      <c r="E46" s="16">
        <f t="shared" si="2"/>
        <v>573.58556058807153</v>
      </c>
      <c r="F46" s="16">
        <v>1000</v>
      </c>
      <c r="G46" s="16">
        <f t="shared" si="3"/>
        <v>247277.44846701488</v>
      </c>
    </row>
    <row r="47" spans="2:7" x14ac:dyDescent="0.25">
      <c r="B47" s="10">
        <v>37</v>
      </c>
      <c r="C47" s="16">
        <f t="shared" si="4"/>
        <v>1610.4648690364172</v>
      </c>
      <c r="D47" s="16">
        <f t="shared" si="1"/>
        <v>1030.3227019458952</v>
      </c>
      <c r="E47" s="16">
        <f t="shared" si="2"/>
        <v>580.14216709052198</v>
      </c>
      <c r="F47" s="16">
        <v>1000</v>
      </c>
      <c r="G47" s="16">
        <f t="shared" si="3"/>
        <v>245697.30629992436</v>
      </c>
    </row>
    <row r="48" spans="2:7" x14ac:dyDescent="0.25">
      <c r="B48" s="10">
        <v>38</v>
      </c>
      <c r="C48" s="16">
        <f t="shared" si="4"/>
        <v>1610.4648690364172</v>
      </c>
      <c r="D48" s="16">
        <f t="shared" si="1"/>
        <v>1023.7387762496847</v>
      </c>
      <c r="E48" s="16">
        <f t="shared" si="2"/>
        <v>586.72609278673247</v>
      </c>
      <c r="F48" s="16">
        <v>1000</v>
      </c>
      <c r="G48" s="16">
        <f t="shared" si="3"/>
        <v>244110.58020713762</v>
      </c>
    </row>
    <row r="49" spans="2:7" x14ac:dyDescent="0.25">
      <c r="B49" s="10">
        <v>39</v>
      </c>
      <c r="C49" s="16">
        <f t="shared" si="4"/>
        <v>1610.4648690364172</v>
      </c>
      <c r="D49" s="16">
        <f t="shared" si="1"/>
        <v>1017.1274175297401</v>
      </c>
      <c r="E49" s="16">
        <f t="shared" si="2"/>
        <v>593.3374515066771</v>
      </c>
      <c r="F49" s="16">
        <v>1000</v>
      </c>
      <c r="G49" s="16">
        <f t="shared" si="3"/>
        <v>242517.24275563096</v>
      </c>
    </row>
    <row r="50" spans="2:7" x14ac:dyDescent="0.25">
      <c r="B50" s="10">
        <v>40</v>
      </c>
      <c r="C50" s="16">
        <f t="shared" si="4"/>
        <v>1610.4648690364172</v>
      </c>
      <c r="D50" s="16">
        <f t="shared" si="1"/>
        <v>1010.4885114817956</v>
      </c>
      <c r="E50" s="16">
        <f t="shared" si="2"/>
        <v>599.97635755462159</v>
      </c>
      <c r="F50" s="16">
        <v>1000</v>
      </c>
      <c r="G50" s="16">
        <f t="shared" si="3"/>
        <v>240917.26639807635</v>
      </c>
    </row>
    <row r="51" spans="2:7" x14ac:dyDescent="0.25">
      <c r="B51" s="10">
        <v>41</v>
      </c>
      <c r="C51" s="16">
        <f t="shared" si="4"/>
        <v>1610.4648690364172</v>
      </c>
      <c r="D51" s="16">
        <f t="shared" si="1"/>
        <v>1003.8219433253181</v>
      </c>
      <c r="E51" s="16">
        <f t="shared" si="2"/>
        <v>606.64292571109911</v>
      </c>
      <c r="F51" s="16">
        <v>1000</v>
      </c>
      <c r="G51" s="16">
        <f t="shared" si="3"/>
        <v>239310.62347236526</v>
      </c>
    </row>
    <row r="52" spans="2:7" x14ac:dyDescent="0.25">
      <c r="B52" s="10">
        <v>42</v>
      </c>
      <c r="C52" s="16">
        <f t="shared" si="4"/>
        <v>1610.4648690364172</v>
      </c>
      <c r="D52" s="16">
        <f t="shared" si="1"/>
        <v>997.12759780152192</v>
      </c>
      <c r="E52" s="16">
        <f t="shared" si="2"/>
        <v>613.3372712348953</v>
      </c>
      <c r="F52" s="16">
        <v>1000</v>
      </c>
      <c r="G52" s="16">
        <f t="shared" si="3"/>
        <v>237697.28620113037</v>
      </c>
    </row>
    <row r="53" spans="2:7" x14ac:dyDescent="0.25">
      <c r="B53" s="10">
        <v>43</v>
      </c>
      <c r="C53" s="16">
        <f t="shared" si="4"/>
        <v>1610.4648690364172</v>
      </c>
      <c r="D53" s="16">
        <f t="shared" si="1"/>
        <v>990.40535917137652</v>
      </c>
      <c r="E53" s="16">
        <f t="shared" si="2"/>
        <v>620.0595098650407</v>
      </c>
      <c r="F53" s="16">
        <v>1000</v>
      </c>
      <c r="G53" s="16">
        <f t="shared" si="3"/>
        <v>236077.22669126533</v>
      </c>
    </row>
    <row r="54" spans="2:7" x14ac:dyDescent="0.25">
      <c r="B54" s="10">
        <v>44</v>
      </c>
      <c r="C54" s="16">
        <f t="shared" si="4"/>
        <v>1610.4648690364172</v>
      </c>
      <c r="D54" s="16">
        <f t="shared" si="1"/>
        <v>983.65511121360555</v>
      </c>
      <c r="E54" s="16">
        <f t="shared" si="2"/>
        <v>626.80975782281166</v>
      </c>
      <c r="F54" s="16">
        <v>1000</v>
      </c>
      <c r="G54" s="16">
        <f t="shared" si="3"/>
        <v>234450.41693344252</v>
      </c>
    </row>
    <row r="55" spans="2:7" x14ac:dyDescent="0.25">
      <c r="B55" s="10">
        <v>45</v>
      </c>
      <c r="C55" s="16">
        <f t="shared" si="4"/>
        <v>1610.4648690364172</v>
      </c>
      <c r="D55" s="16">
        <f t="shared" si="1"/>
        <v>976.87673722267721</v>
      </c>
      <c r="E55" s="16">
        <f t="shared" si="2"/>
        <v>633.58813181374001</v>
      </c>
      <c r="F55" s="16">
        <v>1000</v>
      </c>
      <c r="G55" s="16">
        <f t="shared" si="3"/>
        <v>232816.82880162878</v>
      </c>
    </row>
    <row r="56" spans="2:7" x14ac:dyDescent="0.25">
      <c r="B56" s="10">
        <v>46</v>
      </c>
      <c r="C56" s="16">
        <f t="shared" si="4"/>
        <v>1610.4648690364172</v>
      </c>
      <c r="D56" s="16">
        <f t="shared" si="1"/>
        <v>970.07012000678662</v>
      </c>
      <c r="E56" s="16">
        <f t="shared" si="2"/>
        <v>640.39474902963059</v>
      </c>
      <c r="F56" s="16">
        <v>1000</v>
      </c>
      <c r="G56" s="16">
        <f t="shared" si="3"/>
        <v>231176.43405259916</v>
      </c>
    </row>
    <row r="57" spans="2:7" x14ac:dyDescent="0.25">
      <c r="B57" s="10">
        <v>47</v>
      </c>
      <c r="C57" s="16">
        <f t="shared" si="4"/>
        <v>1610.4648690364172</v>
      </c>
      <c r="D57" s="16">
        <f t="shared" si="1"/>
        <v>963.23514188582976</v>
      </c>
      <c r="E57" s="16">
        <f t="shared" si="2"/>
        <v>647.22972715058745</v>
      </c>
      <c r="F57" s="16">
        <v>1000</v>
      </c>
      <c r="G57" s="16">
        <f t="shared" si="3"/>
        <v>229529.20432544858</v>
      </c>
    </row>
    <row r="58" spans="2:7" x14ac:dyDescent="0.25">
      <c r="B58" s="10">
        <v>48</v>
      </c>
      <c r="C58" s="16">
        <f t="shared" si="4"/>
        <v>1610.4648690364172</v>
      </c>
      <c r="D58" s="16">
        <f t="shared" si="1"/>
        <v>956.37168468936909</v>
      </c>
      <c r="E58" s="16">
        <f t="shared" si="2"/>
        <v>654.09318434704812</v>
      </c>
      <c r="F58" s="16">
        <v>1000</v>
      </c>
      <c r="G58" s="16">
        <f t="shared" si="3"/>
        <v>227875.11114110152</v>
      </c>
    </row>
    <row r="59" spans="2:7" x14ac:dyDescent="0.25">
      <c r="B59" s="10">
        <v>49</v>
      </c>
      <c r="C59" s="16">
        <f t="shared" si="4"/>
        <v>1610.4648690364172</v>
      </c>
      <c r="D59" s="16">
        <f t="shared" si="1"/>
        <v>949.47962975458961</v>
      </c>
      <c r="E59" s="16">
        <f t="shared" si="2"/>
        <v>660.9852392818276</v>
      </c>
      <c r="F59" s="16">
        <v>1000</v>
      </c>
      <c r="G59" s="16">
        <f t="shared" si="3"/>
        <v>226214.1259018197</v>
      </c>
    </row>
    <row r="60" spans="2:7" x14ac:dyDescent="0.25">
      <c r="B60" s="10">
        <v>50</v>
      </c>
      <c r="C60" s="16">
        <f t="shared" si="4"/>
        <v>1610.4648690364172</v>
      </c>
      <c r="D60" s="16">
        <f t="shared" si="1"/>
        <v>942.55885792424874</v>
      </c>
      <c r="E60" s="16">
        <f t="shared" si="2"/>
        <v>667.90601111216847</v>
      </c>
      <c r="F60" s="16">
        <v>1000</v>
      </c>
      <c r="G60" s="16">
        <f t="shared" si="3"/>
        <v>224546.21989070752</v>
      </c>
    </row>
    <row r="61" spans="2:7" x14ac:dyDescent="0.25">
      <c r="B61" s="10">
        <v>51</v>
      </c>
      <c r="C61" s="16">
        <f t="shared" si="4"/>
        <v>1610.4648690364172</v>
      </c>
      <c r="D61" s="16">
        <f t="shared" si="1"/>
        <v>935.60924954461461</v>
      </c>
      <c r="E61" s="16">
        <f t="shared" si="2"/>
        <v>674.8556194918026</v>
      </c>
      <c r="F61" s="16">
        <v>1000</v>
      </c>
      <c r="G61" s="16">
        <f t="shared" si="3"/>
        <v>222871.36427121572</v>
      </c>
    </row>
    <row r="62" spans="2:7" x14ac:dyDescent="0.25">
      <c r="B62" s="10">
        <v>52</v>
      </c>
      <c r="C62" s="16">
        <f t="shared" si="4"/>
        <v>1610.4648690364172</v>
      </c>
      <c r="D62" s="16">
        <f t="shared" si="1"/>
        <v>928.63068446339878</v>
      </c>
      <c r="E62" s="16">
        <f t="shared" si="2"/>
        <v>681.83418457301843</v>
      </c>
      <c r="F62" s="16">
        <v>1000</v>
      </c>
      <c r="G62" s="16">
        <f t="shared" si="3"/>
        <v>221189.53008664268</v>
      </c>
    </row>
    <row r="63" spans="2:7" x14ac:dyDescent="0.25">
      <c r="B63" s="10">
        <v>53</v>
      </c>
      <c r="C63" s="16">
        <f t="shared" si="4"/>
        <v>1610.4648690364172</v>
      </c>
      <c r="D63" s="16">
        <f t="shared" si="1"/>
        <v>921.6230420276778</v>
      </c>
      <c r="E63" s="16">
        <f t="shared" si="2"/>
        <v>688.84182700873941</v>
      </c>
      <c r="F63" s="16">
        <v>1000</v>
      </c>
      <c r="G63" s="16">
        <f t="shared" si="3"/>
        <v>219500.68825963396</v>
      </c>
    </row>
    <row r="64" spans="2:7" x14ac:dyDescent="0.25">
      <c r="B64" s="10">
        <v>54</v>
      </c>
      <c r="C64" s="16">
        <f t="shared" si="4"/>
        <v>1610.4648690364172</v>
      </c>
      <c r="D64" s="16">
        <f t="shared" si="1"/>
        <v>914.5862010818081</v>
      </c>
      <c r="E64" s="16">
        <f t="shared" si="2"/>
        <v>695.87866795460911</v>
      </c>
      <c r="F64" s="16">
        <v>1000</v>
      </c>
      <c r="G64" s="16">
        <f t="shared" si="3"/>
        <v>217804.80959167934</v>
      </c>
    </row>
    <row r="65" spans="2:7" x14ac:dyDescent="0.25">
      <c r="B65" s="10">
        <v>55</v>
      </c>
      <c r="C65" s="16">
        <f t="shared" si="4"/>
        <v>1610.4648690364172</v>
      </c>
      <c r="D65" s="16">
        <f t="shared" si="1"/>
        <v>907.52003996533051</v>
      </c>
      <c r="E65" s="16">
        <f t="shared" si="2"/>
        <v>702.9448290710867</v>
      </c>
      <c r="F65" s="16">
        <v>1000</v>
      </c>
      <c r="G65" s="16">
        <f t="shared" si="3"/>
        <v>216101.86476260825</v>
      </c>
    </row>
    <row r="66" spans="2:7" x14ac:dyDescent="0.25">
      <c r="B66" s="10">
        <v>56</v>
      </c>
      <c r="C66" s="16">
        <f t="shared" si="4"/>
        <v>1610.4648690364172</v>
      </c>
      <c r="D66" s="16">
        <f t="shared" si="1"/>
        <v>900.42443651086774</v>
      </c>
      <c r="E66" s="16">
        <f t="shared" si="2"/>
        <v>710.04043252554948</v>
      </c>
      <c r="F66" s="16">
        <v>1000</v>
      </c>
      <c r="G66" s="16">
        <f t="shared" si="3"/>
        <v>214391.82433008272</v>
      </c>
    </row>
    <row r="67" spans="2:7" x14ac:dyDescent="0.25">
      <c r="B67" s="10">
        <v>57</v>
      </c>
      <c r="C67" s="16">
        <f t="shared" si="4"/>
        <v>1610.4648690364172</v>
      </c>
      <c r="D67" s="16">
        <f t="shared" si="1"/>
        <v>893.29926804201125</v>
      </c>
      <c r="E67" s="16">
        <f t="shared" si="2"/>
        <v>717.16560099440596</v>
      </c>
      <c r="F67" s="16">
        <v>1000</v>
      </c>
      <c r="G67" s="16">
        <f t="shared" si="3"/>
        <v>212674.65872908832</v>
      </c>
    </row>
    <row r="68" spans="2:7" x14ac:dyDescent="0.25">
      <c r="B68" s="10">
        <v>58</v>
      </c>
      <c r="C68" s="16">
        <f t="shared" si="4"/>
        <v>1610.4648690364172</v>
      </c>
      <c r="D68" s="16">
        <f t="shared" si="1"/>
        <v>886.14441137120127</v>
      </c>
      <c r="E68" s="16">
        <f t="shared" si="2"/>
        <v>724.32045766521594</v>
      </c>
      <c r="F68" s="16">
        <v>1000</v>
      </c>
      <c r="G68" s="16">
        <f t="shared" si="3"/>
        <v>210950.3382714231</v>
      </c>
    </row>
    <row r="69" spans="2:7" x14ac:dyDescent="0.25">
      <c r="B69" s="10">
        <v>59</v>
      </c>
      <c r="C69" s="16">
        <f t="shared" si="4"/>
        <v>1610.4648690364172</v>
      </c>
      <c r="D69" s="16">
        <f t="shared" si="1"/>
        <v>878.95974279759628</v>
      </c>
      <c r="E69" s="16">
        <f t="shared" si="2"/>
        <v>731.50512623882094</v>
      </c>
      <c r="F69" s="16">
        <v>1000</v>
      </c>
      <c r="G69" s="16">
        <f t="shared" si="3"/>
        <v>209218.83314518427</v>
      </c>
    </row>
    <row r="70" spans="2:7" x14ac:dyDescent="0.25">
      <c r="B70" s="10">
        <v>60</v>
      </c>
      <c r="C70" s="16">
        <f t="shared" si="4"/>
        <v>1610.4648690364172</v>
      </c>
      <c r="D70" s="16">
        <f t="shared" si="1"/>
        <v>871.74513810493443</v>
      </c>
      <c r="E70" s="16">
        <f t="shared" si="2"/>
        <v>738.71973093148279</v>
      </c>
      <c r="F70" s="16">
        <v>1000</v>
      </c>
      <c r="G70" s="16">
        <f t="shared" si="3"/>
        <v>207480.11341425279</v>
      </c>
    </row>
    <row r="71" spans="2:7" x14ac:dyDescent="0.25">
      <c r="B71" s="10">
        <v>61</v>
      </c>
      <c r="C71" s="16">
        <f t="shared" si="4"/>
        <v>1610.4648690364172</v>
      </c>
      <c r="D71" s="16">
        <f t="shared" si="1"/>
        <v>864.50047255938659</v>
      </c>
      <c r="E71" s="16">
        <f t="shared" si="2"/>
        <v>745.96439647703062</v>
      </c>
      <c r="F71" s="16">
        <v>1000</v>
      </c>
      <c r="G71" s="16">
        <f t="shared" si="3"/>
        <v>205734.14901777575</v>
      </c>
    </row>
    <row r="72" spans="2:7" x14ac:dyDescent="0.25">
      <c r="B72" s="10">
        <v>62</v>
      </c>
      <c r="C72" s="16">
        <f t="shared" si="4"/>
        <v>1610.4648690364172</v>
      </c>
      <c r="D72" s="16">
        <f t="shared" si="1"/>
        <v>857.22562090739893</v>
      </c>
      <c r="E72" s="16">
        <f t="shared" si="2"/>
        <v>753.23924812901828</v>
      </c>
      <c r="F72" s="16">
        <v>1000</v>
      </c>
      <c r="G72" s="16">
        <f t="shared" si="3"/>
        <v>203980.90976964674</v>
      </c>
    </row>
    <row r="73" spans="2:7" x14ac:dyDescent="0.25">
      <c r="B73" s="10">
        <v>63</v>
      </c>
      <c r="C73" s="16">
        <f t="shared" si="4"/>
        <v>1610.4648690364172</v>
      </c>
      <c r="D73" s="16">
        <f t="shared" si="1"/>
        <v>849.92045737352805</v>
      </c>
      <c r="E73" s="16">
        <f t="shared" si="2"/>
        <v>760.54441166288916</v>
      </c>
      <c r="F73" s="16">
        <v>1000</v>
      </c>
      <c r="G73" s="16">
        <f t="shared" si="3"/>
        <v>202220.36535798386</v>
      </c>
    </row>
    <row r="74" spans="2:7" x14ac:dyDescent="0.25">
      <c r="B74" s="10">
        <v>64</v>
      </c>
      <c r="C74" s="16">
        <f t="shared" si="4"/>
        <v>1610.4648690364172</v>
      </c>
      <c r="D74" s="16">
        <f t="shared" si="1"/>
        <v>842.58485565826606</v>
      </c>
      <c r="E74" s="16">
        <f t="shared" si="2"/>
        <v>767.88001337815115</v>
      </c>
      <c r="F74" s="16">
        <v>1000</v>
      </c>
      <c r="G74" s="16">
        <f t="shared" si="3"/>
        <v>200452.48534460569</v>
      </c>
    </row>
    <row r="75" spans="2:7" x14ac:dyDescent="0.25">
      <c r="B75" s="10">
        <v>65</v>
      </c>
      <c r="C75" s="16">
        <f t="shared" si="4"/>
        <v>1610.4648690364172</v>
      </c>
      <c r="D75" s="16">
        <f t="shared" si="1"/>
        <v>835.21868893585702</v>
      </c>
      <c r="E75" s="16">
        <f t="shared" si="2"/>
        <v>775.2461801005602</v>
      </c>
      <c r="F75" s="16">
        <v>1000</v>
      </c>
      <c r="G75" s="16">
        <f t="shared" si="3"/>
        <v>198677.23916450512</v>
      </c>
    </row>
    <row r="76" spans="2:7" x14ac:dyDescent="0.25">
      <c r="B76" s="10">
        <v>66</v>
      </c>
      <c r="C76" s="16">
        <f t="shared" si="4"/>
        <v>1610.4648690364172</v>
      </c>
      <c r="D76" s="16">
        <f t="shared" ref="D76:D139" si="5">G75*$C$4</f>
        <v>827.82182985210466</v>
      </c>
      <c r="E76" s="16">
        <f t="shared" ref="E76:E139" si="6">C76-D76</f>
        <v>782.64303918431256</v>
      </c>
      <c r="F76" s="16">
        <v>1000</v>
      </c>
      <c r="G76" s="16">
        <f t="shared" ref="G76:G139" si="7">G75-F76-E76</f>
        <v>196894.59612532082</v>
      </c>
    </row>
    <row r="77" spans="2:7" x14ac:dyDescent="0.25">
      <c r="B77" s="10">
        <v>67</v>
      </c>
      <c r="C77" s="16">
        <f t="shared" si="4"/>
        <v>1610.4648690364172</v>
      </c>
      <c r="D77" s="16">
        <f t="shared" si="5"/>
        <v>820.39415052217009</v>
      </c>
      <c r="E77" s="16">
        <f t="shared" si="6"/>
        <v>790.07071851424712</v>
      </c>
      <c r="F77" s="16">
        <v>1000</v>
      </c>
      <c r="G77" s="16">
        <f t="shared" si="7"/>
        <v>195104.52540680658</v>
      </c>
    </row>
    <row r="78" spans="2:7" x14ac:dyDescent="0.25">
      <c r="B78" s="10">
        <v>68</v>
      </c>
      <c r="C78" s="16">
        <f t="shared" si="4"/>
        <v>1610.4648690364172</v>
      </c>
      <c r="D78" s="16">
        <f t="shared" si="5"/>
        <v>812.93552252836071</v>
      </c>
      <c r="E78" s="16">
        <f t="shared" si="6"/>
        <v>797.52934650805651</v>
      </c>
      <c r="F78" s="16">
        <v>1000</v>
      </c>
      <c r="G78" s="16">
        <f t="shared" si="7"/>
        <v>193306.99606029852</v>
      </c>
    </row>
    <row r="79" spans="2:7" x14ac:dyDescent="0.25">
      <c r="B79" s="10">
        <v>69</v>
      </c>
      <c r="C79" s="16">
        <f t="shared" si="4"/>
        <v>1610.4648690364172</v>
      </c>
      <c r="D79" s="16">
        <f t="shared" si="5"/>
        <v>805.44581691791052</v>
      </c>
      <c r="E79" s="16">
        <f t="shared" si="6"/>
        <v>805.01905211850669</v>
      </c>
      <c r="F79" s="16">
        <v>1000</v>
      </c>
      <c r="G79" s="16">
        <f t="shared" si="7"/>
        <v>191501.97700818002</v>
      </c>
    </row>
    <row r="80" spans="2:7" x14ac:dyDescent="0.25">
      <c r="B80" s="10">
        <v>70</v>
      </c>
      <c r="C80" s="16">
        <f t="shared" si="4"/>
        <v>1610.4648690364172</v>
      </c>
      <c r="D80" s="16">
        <f t="shared" si="5"/>
        <v>797.92490420075012</v>
      </c>
      <c r="E80" s="16">
        <f t="shared" si="6"/>
        <v>812.53996483566709</v>
      </c>
      <c r="F80" s="16">
        <v>1000</v>
      </c>
      <c r="G80" s="16">
        <f t="shared" si="7"/>
        <v>189689.43704334437</v>
      </c>
    </row>
    <row r="81" spans="2:7" x14ac:dyDescent="0.25">
      <c r="B81" s="10">
        <v>71</v>
      </c>
      <c r="C81" s="16">
        <f t="shared" si="4"/>
        <v>1610.4648690364172</v>
      </c>
      <c r="D81" s="16">
        <f t="shared" si="5"/>
        <v>790.37265434726817</v>
      </c>
      <c r="E81" s="16">
        <f t="shared" si="6"/>
        <v>820.09221468914905</v>
      </c>
      <c r="F81" s="16">
        <v>1000</v>
      </c>
      <c r="G81" s="16">
        <f t="shared" si="7"/>
        <v>187869.34482865522</v>
      </c>
    </row>
    <row r="82" spans="2:7" x14ac:dyDescent="0.25">
      <c r="B82" s="10">
        <v>72</v>
      </c>
      <c r="C82" s="16">
        <f t="shared" si="4"/>
        <v>1610.4648690364172</v>
      </c>
      <c r="D82" s="16">
        <f t="shared" si="5"/>
        <v>782.78893678606335</v>
      </c>
      <c r="E82" s="16">
        <f t="shared" si="6"/>
        <v>827.67593225035387</v>
      </c>
      <c r="F82" s="16">
        <v>1000</v>
      </c>
      <c r="G82" s="16">
        <f t="shared" si="7"/>
        <v>186041.66889640485</v>
      </c>
    </row>
    <row r="83" spans="2:7" x14ac:dyDescent="0.25">
      <c r="B83" s="10">
        <v>73</v>
      </c>
      <c r="C83" s="16">
        <f t="shared" si="4"/>
        <v>1610.4648690364172</v>
      </c>
      <c r="D83" s="16">
        <f t="shared" si="5"/>
        <v>775.17362040168689</v>
      </c>
      <c r="E83" s="16">
        <f t="shared" si="6"/>
        <v>835.29124863473032</v>
      </c>
      <c r="F83" s="16">
        <v>1000</v>
      </c>
      <c r="G83" s="16">
        <f t="shared" si="7"/>
        <v>184206.37764777013</v>
      </c>
    </row>
    <row r="84" spans="2:7" x14ac:dyDescent="0.25">
      <c r="B84" s="10">
        <v>74</v>
      </c>
      <c r="C84" s="16">
        <f t="shared" si="4"/>
        <v>1610.4648690364172</v>
      </c>
      <c r="D84" s="16">
        <f t="shared" si="5"/>
        <v>767.52657353237555</v>
      </c>
      <c r="E84" s="16">
        <f t="shared" si="6"/>
        <v>842.93829550404166</v>
      </c>
      <c r="F84" s="16">
        <v>1000</v>
      </c>
      <c r="G84" s="16">
        <f t="shared" si="7"/>
        <v>182363.43935226608</v>
      </c>
    </row>
    <row r="85" spans="2:7" x14ac:dyDescent="0.25">
      <c r="B85" s="10">
        <v>75</v>
      </c>
      <c r="C85" s="16">
        <f t="shared" si="4"/>
        <v>1610.4648690364172</v>
      </c>
      <c r="D85" s="16">
        <f t="shared" si="5"/>
        <v>759.84766396777536</v>
      </c>
      <c r="E85" s="16">
        <f t="shared" si="6"/>
        <v>850.61720506864185</v>
      </c>
      <c r="F85" s="16">
        <v>1000</v>
      </c>
      <c r="G85" s="16">
        <f t="shared" si="7"/>
        <v>180512.82214719744</v>
      </c>
    </row>
    <row r="86" spans="2:7" x14ac:dyDescent="0.25">
      <c r="B86" s="10">
        <v>76</v>
      </c>
      <c r="C86" s="16">
        <f t="shared" si="4"/>
        <v>1610.4648690364172</v>
      </c>
      <c r="D86" s="16">
        <f t="shared" si="5"/>
        <v>752.13675894665596</v>
      </c>
      <c r="E86" s="16">
        <f t="shared" si="6"/>
        <v>858.32811008976125</v>
      </c>
      <c r="F86" s="16">
        <v>1000</v>
      </c>
      <c r="G86" s="16">
        <f t="shared" si="7"/>
        <v>178654.49403710768</v>
      </c>
    </row>
    <row r="87" spans="2:7" x14ac:dyDescent="0.25">
      <c r="B87" s="10">
        <v>77</v>
      </c>
      <c r="C87" s="16">
        <f t="shared" si="4"/>
        <v>1610.4648690364172</v>
      </c>
      <c r="D87" s="16">
        <f t="shared" si="5"/>
        <v>744.39372515461537</v>
      </c>
      <c r="E87" s="16">
        <f t="shared" si="6"/>
        <v>866.07114388180185</v>
      </c>
      <c r="F87" s="16">
        <v>1000</v>
      </c>
      <c r="G87" s="16">
        <f t="shared" si="7"/>
        <v>176788.42289322588</v>
      </c>
    </row>
    <row r="88" spans="2:7" x14ac:dyDescent="0.25">
      <c r="B88" s="10">
        <v>78</v>
      </c>
      <c r="C88" s="16">
        <f t="shared" si="4"/>
        <v>1610.4648690364172</v>
      </c>
      <c r="D88" s="16">
        <f t="shared" si="5"/>
        <v>736.61842872177454</v>
      </c>
      <c r="E88" s="16">
        <f t="shared" si="6"/>
        <v>873.84644031464268</v>
      </c>
      <c r="F88" s="16">
        <v>1000</v>
      </c>
      <c r="G88" s="16">
        <f t="shared" si="7"/>
        <v>174914.57645291125</v>
      </c>
    </row>
    <row r="89" spans="2:7" x14ac:dyDescent="0.25">
      <c r="B89" s="10">
        <v>79</v>
      </c>
      <c r="C89" s="16">
        <f t="shared" si="4"/>
        <v>1610.4648690364172</v>
      </c>
      <c r="D89" s="16">
        <f t="shared" si="5"/>
        <v>728.81073522046358</v>
      </c>
      <c r="E89" s="16">
        <f t="shared" si="6"/>
        <v>881.65413381595363</v>
      </c>
      <c r="F89" s="16">
        <v>1000</v>
      </c>
      <c r="G89" s="16">
        <f t="shared" si="7"/>
        <v>173032.92231909529</v>
      </c>
    </row>
    <row r="90" spans="2:7" x14ac:dyDescent="0.25">
      <c r="B90" s="10">
        <v>80</v>
      </c>
      <c r="C90" s="16">
        <f t="shared" ref="C90:C153" si="8">IF(G89&lt;$C$7,G89*(1+$C$4),$C$7)</f>
        <v>1610.4648690364172</v>
      </c>
      <c r="D90" s="16">
        <f t="shared" si="5"/>
        <v>720.97050966289703</v>
      </c>
      <c r="E90" s="16">
        <f t="shared" si="6"/>
        <v>889.49435937352018</v>
      </c>
      <c r="F90" s="16">
        <v>1000</v>
      </c>
      <c r="G90" s="16">
        <f t="shared" si="7"/>
        <v>171143.42795972177</v>
      </c>
    </row>
    <row r="91" spans="2:7" x14ac:dyDescent="0.25">
      <c r="B91" s="10">
        <v>81</v>
      </c>
      <c r="C91" s="16">
        <f t="shared" si="8"/>
        <v>1610.4648690364172</v>
      </c>
      <c r="D91" s="16">
        <f t="shared" si="5"/>
        <v>713.09761649884069</v>
      </c>
      <c r="E91" s="16">
        <f t="shared" si="6"/>
        <v>897.36725253757652</v>
      </c>
      <c r="F91" s="16">
        <v>1000</v>
      </c>
      <c r="G91" s="16">
        <f t="shared" si="7"/>
        <v>169246.0607071842</v>
      </c>
    </row>
    <row r="92" spans="2:7" x14ac:dyDescent="0.25">
      <c r="B92" s="10">
        <v>82</v>
      </c>
      <c r="C92" s="16">
        <f t="shared" si="8"/>
        <v>1610.4648690364172</v>
      </c>
      <c r="D92" s="16">
        <f t="shared" si="5"/>
        <v>705.19191961326749</v>
      </c>
      <c r="E92" s="16">
        <f t="shared" si="6"/>
        <v>905.27294942314973</v>
      </c>
      <c r="F92" s="16">
        <v>1000</v>
      </c>
      <c r="G92" s="16">
        <f t="shared" si="7"/>
        <v>167340.78775776105</v>
      </c>
    </row>
    <row r="93" spans="2:7" x14ac:dyDescent="0.25">
      <c r="B93" s="10">
        <v>83</v>
      </c>
      <c r="C93" s="16">
        <f t="shared" si="8"/>
        <v>1610.4648690364172</v>
      </c>
      <c r="D93" s="16">
        <f t="shared" si="5"/>
        <v>697.25328232400432</v>
      </c>
      <c r="E93" s="16">
        <f t="shared" si="6"/>
        <v>913.2115867124129</v>
      </c>
      <c r="F93" s="16">
        <v>1000</v>
      </c>
      <c r="G93" s="16">
        <f t="shared" si="7"/>
        <v>165427.57617104863</v>
      </c>
    </row>
    <row r="94" spans="2:7" x14ac:dyDescent="0.25">
      <c r="B94" s="10">
        <v>84</v>
      </c>
      <c r="C94" s="16">
        <f t="shared" si="8"/>
        <v>1610.4648690364172</v>
      </c>
      <c r="D94" s="16">
        <f t="shared" si="5"/>
        <v>689.28156737936922</v>
      </c>
      <c r="E94" s="16">
        <f t="shared" si="6"/>
        <v>921.18330165704799</v>
      </c>
      <c r="F94" s="16">
        <v>1000</v>
      </c>
      <c r="G94" s="16">
        <f t="shared" si="7"/>
        <v>163506.39286939157</v>
      </c>
    </row>
    <row r="95" spans="2:7" x14ac:dyDescent="0.25">
      <c r="B95" s="10">
        <v>85</v>
      </c>
      <c r="C95" s="16">
        <f t="shared" si="8"/>
        <v>1610.4648690364172</v>
      </c>
      <c r="D95" s="16">
        <f t="shared" si="5"/>
        <v>681.27663695579815</v>
      </c>
      <c r="E95" s="16">
        <f t="shared" si="6"/>
        <v>929.18823208061906</v>
      </c>
      <c r="F95" s="16">
        <v>1000</v>
      </c>
      <c r="G95" s="16">
        <f t="shared" si="7"/>
        <v>161577.20463731093</v>
      </c>
    </row>
    <row r="96" spans="2:7" x14ac:dyDescent="0.25">
      <c r="B96" s="10">
        <v>86</v>
      </c>
      <c r="C96" s="16">
        <f t="shared" si="8"/>
        <v>1610.4648690364172</v>
      </c>
      <c r="D96" s="16">
        <f t="shared" si="5"/>
        <v>673.23835265546222</v>
      </c>
      <c r="E96" s="16">
        <f t="shared" si="6"/>
        <v>937.22651638095499</v>
      </c>
      <c r="F96" s="16">
        <v>1000</v>
      </c>
      <c r="G96" s="16">
        <f t="shared" si="7"/>
        <v>159639.97812092997</v>
      </c>
    </row>
    <row r="97" spans="2:7" x14ac:dyDescent="0.25">
      <c r="B97" s="10">
        <v>87</v>
      </c>
      <c r="C97" s="16">
        <f t="shared" si="8"/>
        <v>1610.4648690364172</v>
      </c>
      <c r="D97" s="16">
        <f t="shared" si="5"/>
        <v>665.16657550387481</v>
      </c>
      <c r="E97" s="16">
        <f t="shared" si="6"/>
        <v>945.2982935325424</v>
      </c>
      <c r="F97" s="16">
        <v>1000</v>
      </c>
      <c r="G97" s="16">
        <f t="shared" si="7"/>
        <v>157694.67982739743</v>
      </c>
    </row>
    <row r="98" spans="2:7" x14ac:dyDescent="0.25">
      <c r="B98" s="10">
        <v>88</v>
      </c>
      <c r="C98" s="16">
        <f t="shared" si="8"/>
        <v>1610.4648690364172</v>
      </c>
      <c r="D98" s="16">
        <f t="shared" si="5"/>
        <v>657.06116594748926</v>
      </c>
      <c r="E98" s="16">
        <f t="shared" si="6"/>
        <v>953.40370308892795</v>
      </c>
      <c r="F98" s="16">
        <v>1000</v>
      </c>
      <c r="G98" s="16">
        <f t="shared" si="7"/>
        <v>155741.2761243085</v>
      </c>
    </row>
    <row r="99" spans="2:7" x14ac:dyDescent="0.25">
      <c r="B99" s="10">
        <v>89</v>
      </c>
      <c r="C99" s="16">
        <f t="shared" si="8"/>
        <v>1610.4648690364172</v>
      </c>
      <c r="D99" s="16">
        <f t="shared" si="5"/>
        <v>648.9219838512854</v>
      </c>
      <c r="E99" s="16">
        <f t="shared" si="6"/>
        <v>961.54288518513181</v>
      </c>
      <c r="F99" s="16">
        <v>1000</v>
      </c>
      <c r="G99" s="16">
        <f t="shared" si="7"/>
        <v>153779.73323912336</v>
      </c>
    </row>
    <row r="100" spans="2:7" x14ac:dyDescent="0.25">
      <c r="B100" s="10">
        <v>90</v>
      </c>
      <c r="C100" s="16">
        <f t="shared" si="8"/>
        <v>1610.4648690364172</v>
      </c>
      <c r="D100" s="16">
        <f t="shared" si="5"/>
        <v>640.74888849634738</v>
      </c>
      <c r="E100" s="16">
        <f t="shared" si="6"/>
        <v>969.71598054006984</v>
      </c>
      <c r="F100" s="16">
        <v>1000</v>
      </c>
      <c r="G100" s="16">
        <f t="shared" si="7"/>
        <v>151810.01725858331</v>
      </c>
    </row>
    <row r="101" spans="2:7" x14ac:dyDescent="0.25">
      <c r="B101" s="10">
        <v>91</v>
      </c>
      <c r="C101" s="16">
        <f t="shared" si="8"/>
        <v>1610.4648690364172</v>
      </c>
      <c r="D101" s="16">
        <f t="shared" si="5"/>
        <v>632.54173857743046</v>
      </c>
      <c r="E101" s="16">
        <f t="shared" si="6"/>
        <v>977.92313045898675</v>
      </c>
      <c r="F101" s="16">
        <v>1000</v>
      </c>
      <c r="G101" s="16">
        <f t="shared" si="7"/>
        <v>149832.09412812433</v>
      </c>
    </row>
    <row r="102" spans="2:7" x14ac:dyDescent="0.25">
      <c r="B102" s="10">
        <v>92</v>
      </c>
      <c r="C102" s="16">
        <f t="shared" si="8"/>
        <v>1610.4648690364172</v>
      </c>
      <c r="D102" s="16">
        <f t="shared" si="5"/>
        <v>624.30039220051799</v>
      </c>
      <c r="E102" s="16">
        <f t="shared" si="6"/>
        <v>986.16447683589922</v>
      </c>
      <c r="F102" s="16">
        <v>1000</v>
      </c>
      <c r="G102" s="16">
        <f t="shared" si="7"/>
        <v>147845.92965128843</v>
      </c>
    </row>
    <row r="103" spans="2:7" x14ac:dyDescent="0.25">
      <c r="B103" s="10">
        <v>93</v>
      </c>
      <c r="C103" s="16">
        <f t="shared" si="8"/>
        <v>1610.4648690364172</v>
      </c>
      <c r="D103" s="16">
        <f t="shared" si="5"/>
        <v>616.02470688036851</v>
      </c>
      <c r="E103" s="16">
        <f t="shared" si="6"/>
        <v>994.4401621560487</v>
      </c>
      <c r="F103" s="16">
        <v>1000</v>
      </c>
      <c r="G103" s="16">
        <f t="shared" si="7"/>
        <v>145851.48948913239</v>
      </c>
    </row>
    <row r="104" spans="2:7" x14ac:dyDescent="0.25">
      <c r="B104" s="10">
        <v>94</v>
      </c>
      <c r="C104" s="16">
        <f t="shared" si="8"/>
        <v>1610.4648690364172</v>
      </c>
      <c r="D104" s="16">
        <f t="shared" si="5"/>
        <v>607.71453953805167</v>
      </c>
      <c r="E104" s="16">
        <f t="shared" si="6"/>
        <v>1002.7503294983655</v>
      </c>
      <c r="F104" s="16">
        <v>1000</v>
      </c>
      <c r="G104" s="16">
        <f t="shared" si="7"/>
        <v>143848.73915963402</v>
      </c>
    </row>
    <row r="105" spans="2:7" x14ac:dyDescent="0.25">
      <c r="B105" s="10">
        <v>95</v>
      </c>
      <c r="C105" s="16">
        <f t="shared" si="8"/>
        <v>1610.4648690364172</v>
      </c>
      <c r="D105" s="16">
        <f t="shared" si="5"/>
        <v>599.36974649847502</v>
      </c>
      <c r="E105" s="16">
        <f t="shared" si="6"/>
        <v>1011.0951225379422</v>
      </c>
      <c r="F105" s="16">
        <v>1000</v>
      </c>
      <c r="G105" s="16">
        <f t="shared" si="7"/>
        <v>141837.64403709606</v>
      </c>
    </row>
    <row r="106" spans="2:7" x14ac:dyDescent="0.25">
      <c r="B106" s="10">
        <v>96</v>
      </c>
      <c r="C106" s="16">
        <f t="shared" si="8"/>
        <v>1610.4648690364172</v>
      </c>
      <c r="D106" s="16">
        <f t="shared" si="5"/>
        <v>590.99018348790025</v>
      </c>
      <c r="E106" s="16">
        <f t="shared" si="6"/>
        <v>1019.474685548517</v>
      </c>
      <c r="F106" s="16">
        <v>1000</v>
      </c>
      <c r="G106" s="16">
        <f t="shared" si="7"/>
        <v>139818.16935154755</v>
      </c>
    </row>
    <row r="107" spans="2:7" x14ac:dyDescent="0.25">
      <c r="B107" s="10">
        <v>97</v>
      </c>
      <c r="C107" s="16">
        <f t="shared" si="8"/>
        <v>1610.4648690364172</v>
      </c>
      <c r="D107" s="16">
        <f t="shared" si="5"/>
        <v>582.57570563144816</v>
      </c>
      <c r="E107" s="16">
        <f t="shared" si="6"/>
        <v>1027.8891634049692</v>
      </c>
      <c r="F107" s="16">
        <v>1000</v>
      </c>
      <c r="G107" s="16">
        <f t="shared" si="7"/>
        <v>137790.28018814258</v>
      </c>
    </row>
    <row r="108" spans="2:7" x14ac:dyDescent="0.25">
      <c r="B108" s="10">
        <v>98</v>
      </c>
      <c r="C108" s="16">
        <f t="shared" si="8"/>
        <v>1610.4648690364172</v>
      </c>
      <c r="D108" s="16">
        <f t="shared" si="5"/>
        <v>574.12616745059404</v>
      </c>
      <c r="E108" s="16">
        <f t="shared" si="6"/>
        <v>1036.3387015858232</v>
      </c>
      <c r="F108" s="16">
        <v>1000</v>
      </c>
      <c r="G108" s="16">
        <f t="shared" si="7"/>
        <v>135753.94148655675</v>
      </c>
    </row>
    <row r="109" spans="2:7" x14ac:dyDescent="0.25">
      <c r="B109" s="10">
        <v>99</v>
      </c>
      <c r="C109" s="16">
        <f t="shared" si="8"/>
        <v>1610.4648690364172</v>
      </c>
      <c r="D109" s="16">
        <f t="shared" si="5"/>
        <v>565.64142286065317</v>
      </c>
      <c r="E109" s="16">
        <f t="shared" si="6"/>
        <v>1044.823446175764</v>
      </c>
      <c r="F109" s="16">
        <v>1000</v>
      </c>
      <c r="G109" s="16">
        <f t="shared" si="7"/>
        <v>133709.118040381</v>
      </c>
    </row>
    <row r="110" spans="2:7" x14ac:dyDescent="0.25">
      <c r="B110" s="10">
        <v>100</v>
      </c>
      <c r="C110" s="16">
        <f t="shared" si="8"/>
        <v>1610.4648690364172</v>
      </c>
      <c r="D110" s="16">
        <f t="shared" si="5"/>
        <v>557.1213251682542</v>
      </c>
      <c r="E110" s="16">
        <f t="shared" si="6"/>
        <v>1053.3435438681631</v>
      </c>
      <c r="F110" s="16">
        <v>1000</v>
      </c>
      <c r="G110" s="16">
        <f t="shared" si="7"/>
        <v>131655.77449651284</v>
      </c>
    </row>
    <row r="111" spans="2:7" x14ac:dyDescent="0.25">
      <c r="B111" s="10">
        <v>101</v>
      </c>
      <c r="C111" s="16">
        <f t="shared" si="8"/>
        <v>1610.4648690364172</v>
      </c>
      <c r="D111" s="16">
        <f t="shared" si="5"/>
        <v>548.56572706880343</v>
      </c>
      <c r="E111" s="16">
        <f t="shared" si="6"/>
        <v>1061.8991419676138</v>
      </c>
      <c r="F111" s="16">
        <v>1000</v>
      </c>
      <c r="G111" s="16">
        <f t="shared" si="7"/>
        <v>129593.87535454522</v>
      </c>
    </row>
    <row r="112" spans="2:7" x14ac:dyDescent="0.25">
      <c r="B112" s="10">
        <v>102</v>
      </c>
      <c r="C112" s="16">
        <f t="shared" si="8"/>
        <v>1610.4648690364172</v>
      </c>
      <c r="D112" s="16">
        <f t="shared" si="5"/>
        <v>539.97448064393836</v>
      </c>
      <c r="E112" s="16">
        <f t="shared" si="6"/>
        <v>1070.490388392479</v>
      </c>
      <c r="F112" s="16">
        <v>1000</v>
      </c>
      <c r="G112" s="16">
        <f t="shared" si="7"/>
        <v>127523.38496615273</v>
      </c>
    </row>
    <row r="113" spans="2:7" x14ac:dyDescent="0.25">
      <c r="B113" s="10">
        <v>103</v>
      </c>
      <c r="C113" s="16">
        <f t="shared" si="8"/>
        <v>1610.4648690364172</v>
      </c>
      <c r="D113" s="16">
        <f t="shared" si="5"/>
        <v>531.34743735896973</v>
      </c>
      <c r="E113" s="16">
        <f t="shared" si="6"/>
        <v>1079.1174316774475</v>
      </c>
      <c r="F113" s="16">
        <v>1000</v>
      </c>
      <c r="G113" s="16">
        <f t="shared" si="7"/>
        <v>125444.26753447529</v>
      </c>
    </row>
    <row r="114" spans="2:7" x14ac:dyDescent="0.25">
      <c r="B114" s="10">
        <v>104</v>
      </c>
      <c r="C114" s="16">
        <f t="shared" si="8"/>
        <v>1610.4648690364172</v>
      </c>
      <c r="D114" s="16">
        <f t="shared" si="5"/>
        <v>522.68444806031368</v>
      </c>
      <c r="E114" s="16">
        <f t="shared" si="6"/>
        <v>1087.7804209761034</v>
      </c>
      <c r="F114" s="16">
        <v>1000</v>
      </c>
      <c r="G114" s="16">
        <f t="shared" si="7"/>
        <v>123356.48711349918</v>
      </c>
    </row>
    <row r="115" spans="2:7" x14ac:dyDescent="0.25">
      <c r="B115" s="10">
        <v>105</v>
      </c>
      <c r="C115" s="16">
        <f t="shared" si="8"/>
        <v>1610.4648690364172</v>
      </c>
      <c r="D115" s="16">
        <f t="shared" si="5"/>
        <v>513.98536297291321</v>
      </c>
      <c r="E115" s="16">
        <f t="shared" si="6"/>
        <v>1096.479506063504</v>
      </c>
      <c r="F115" s="16">
        <v>1000</v>
      </c>
      <c r="G115" s="16">
        <f t="shared" si="7"/>
        <v>121260.00760743568</v>
      </c>
    </row>
    <row r="116" spans="2:7" x14ac:dyDescent="0.25">
      <c r="B116" s="10">
        <v>106</v>
      </c>
      <c r="C116" s="16">
        <f t="shared" si="8"/>
        <v>1610.4648690364172</v>
      </c>
      <c r="D116" s="16">
        <f t="shared" si="5"/>
        <v>505.25003169764864</v>
      </c>
      <c r="E116" s="16">
        <f t="shared" si="6"/>
        <v>1105.2148373387686</v>
      </c>
      <c r="F116" s="16">
        <v>1000</v>
      </c>
      <c r="G116" s="16">
        <f t="shared" si="7"/>
        <v>119154.7927700969</v>
      </c>
    </row>
    <row r="117" spans="2:7" x14ac:dyDescent="0.25">
      <c r="B117" s="10">
        <v>107</v>
      </c>
      <c r="C117" s="16">
        <f t="shared" si="8"/>
        <v>1610.4648690364172</v>
      </c>
      <c r="D117" s="16">
        <f t="shared" si="5"/>
        <v>496.47830320873709</v>
      </c>
      <c r="E117" s="16">
        <f t="shared" si="6"/>
        <v>1113.9865658276801</v>
      </c>
      <c r="F117" s="16">
        <v>1000</v>
      </c>
      <c r="G117" s="16">
        <f t="shared" si="7"/>
        <v>117040.80620426922</v>
      </c>
    </row>
    <row r="118" spans="2:7" x14ac:dyDescent="0.25">
      <c r="B118" s="10">
        <v>108</v>
      </c>
      <c r="C118" s="16">
        <f t="shared" si="8"/>
        <v>1610.4648690364172</v>
      </c>
      <c r="D118" s="16">
        <f t="shared" si="5"/>
        <v>487.67002585112175</v>
      </c>
      <c r="E118" s="16">
        <f t="shared" si="6"/>
        <v>1122.7948431852956</v>
      </c>
      <c r="F118" s="16">
        <v>1000</v>
      </c>
      <c r="G118" s="16">
        <f t="shared" si="7"/>
        <v>114918.01136108392</v>
      </c>
    </row>
    <row r="119" spans="2:7" x14ac:dyDescent="0.25">
      <c r="B119" s="10">
        <v>109</v>
      </c>
      <c r="C119" s="16">
        <f t="shared" si="8"/>
        <v>1610.4648690364172</v>
      </c>
      <c r="D119" s="16">
        <f t="shared" si="5"/>
        <v>478.82504733784964</v>
      </c>
      <c r="E119" s="16">
        <f t="shared" si="6"/>
        <v>1131.6398216985676</v>
      </c>
      <c r="F119" s="16">
        <v>1000</v>
      </c>
      <c r="G119" s="16">
        <f t="shared" si="7"/>
        <v>112786.37153938535</v>
      </c>
    </row>
    <row r="120" spans="2:7" x14ac:dyDescent="0.25">
      <c r="B120" s="10">
        <v>110</v>
      </c>
      <c r="C120" s="16">
        <f t="shared" si="8"/>
        <v>1610.4648690364172</v>
      </c>
      <c r="D120" s="16">
        <f t="shared" si="5"/>
        <v>469.94321474743896</v>
      </c>
      <c r="E120" s="16">
        <f t="shared" si="6"/>
        <v>1140.5216542889782</v>
      </c>
      <c r="F120" s="16">
        <v>1000</v>
      </c>
      <c r="G120" s="16">
        <f t="shared" si="7"/>
        <v>110645.84988509637</v>
      </c>
    </row>
    <row r="121" spans="2:7" x14ac:dyDescent="0.25">
      <c r="B121" s="10">
        <v>111</v>
      </c>
      <c r="C121" s="16">
        <f t="shared" si="8"/>
        <v>1610.4648690364172</v>
      </c>
      <c r="D121" s="16">
        <f t="shared" si="5"/>
        <v>461.02437452123485</v>
      </c>
      <c r="E121" s="16">
        <f t="shared" si="6"/>
        <v>1149.4404945151823</v>
      </c>
      <c r="F121" s="16">
        <v>1000</v>
      </c>
      <c r="G121" s="16">
        <f t="shared" si="7"/>
        <v>108496.40939058119</v>
      </c>
    </row>
    <row r="122" spans="2:7" x14ac:dyDescent="0.25">
      <c r="B122" s="10">
        <v>112</v>
      </c>
      <c r="C122" s="16">
        <f t="shared" si="8"/>
        <v>1610.4648690364172</v>
      </c>
      <c r="D122" s="16">
        <f t="shared" si="5"/>
        <v>452.06837246075497</v>
      </c>
      <c r="E122" s="16">
        <f t="shared" si="6"/>
        <v>1158.3964965756622</v>
      </c>
      <c r="F122" s="16">
        <v>1000</v>
      </c>
      <c r="G122" s="16">
        <f t="shared" si="7"/>
        <v>106338.01289400553</v>
      </c>
    </row>
    <row r="123" spans="2:7" x14ac:dyDescent="0.25">
      <c r="B123" s="10">
        <v>113</v>
      </c>
      <c r="C123" s="16">
        <f t="shared" si="8"/>
        <v>1610.4648690364172</v>
      </c>
      <c r="D123" s="16">
        <f t="shared" si="5"/>
        <v>443.07505372502305</v>
      </c>
      <c r="E123" s="16">
        <f t="shared" si="6"/>
        <v>1167.3898153113942</v>
      </c>
      <c r="F123" s="16">
        <v>1000</v>
      </c>
      <c r="G123" s="16">
        <f t="shared" si="7"/>
        <v>104170.62307869413</v>
      </c>
    </row>
    <row r="124" spans="2:7" x14ac:dyDescent="0.25">
      <c r="B124" s="10">
        <v>114</v>
      </c>
      <c r="C124" s="16">
        <f t="shared" si="8"/>
        <v>1610.4648690364172</v>
      </c>
      <c r="D124" s="16">
        <f t="shared" si="5"/>
        <v>434.04426282789223</v>
      </c>
      <c r="E124" s="16">
        <f t="shared" si="6"/>
        <v>1176.420606208525</v>
      </c>
      <c r="F124" s="16">
        <v>1000</v>
      </c>
      <c r="G124" s="16">
        <f t="shared" si="7"/>
        <v>101994.2024724856</v>
      </c>
    </row>
    <row r="125" spans="2:7" x14ac:dyDescent="0.25">
      <c r="B125" s="10">
        <v>115</v>
      </c>
      <c r="C125" s="16">
        <f t="shared" si="8"/>
        <v>1610.4648690364172</v>
      </c>
      <c r="D125" s="16">
        <f t="shared" si="5"/>
        <v>424.97584363535668</v>
      </c>
      <c r="E125" s="16">
        <f t="shared" si="6"/>
        <v>1185.4890254010606</v>
      </c>
      <c r="F125" s="16">
        <v>1000</v>
      </c>
      <c r="G125" s="16">
        <f t="shared" si="7"/>
        <v>99808.713447084534</v>
      </c>
    </row>
    <row r="126" spans="2:7" x14ac:dyDescent="0.25">
      <c r="B126" s="10">
        <v>116</v>
      </c>
      <c r="C126" s="16">
        <f t="shared" si="8"/>
        <v>1610.4648690364172</v>
      </c>
      <c r="D126" s="16">
        <f t="shared" si="5"/>
        <v>415.86963936285224</v>
      </c>
      <c r="E126" s="16">
        <f t="shared" si="6"/>
        <v>1194.595229673565</v>
      </c>
      <c r="F126" s="16">
        <v>1000</v>
      </c>
      <c r="G126" s="16">
        <f t="shared" si="7"/>
        <v>97614.118217410971</v>
      </c>
    </row>
    <row r="127" spans="2:7" x14ac:dyDescent="0.25">
      <c r="B127" s="10">
        <v>117</v>
      </c>
      <c r="C127" s="16">
        <f t="shared" si="8"/>
        <v>1610.4648690364172</v>
      </c>
      <c r="D127" s="16">
        <f t="shared" si="5"/>
        <v>406.7254925725457</v>
      </c>
      <c r="E127" s="16">
        <f t="shared" si="6"/>
        <v>1203.7393764638714</v>
      </c>
      <c r="F127" s="16">
        <v>1000</v>
      </c>
      <c r="G127" s="16">
        <f t="shared" si="7"/>
        <v>95410.378840947102</v>
      </c>
    </row>
    <row r="128" spans="2:7" x14ac:dyDescent="0.25">
      <c r="B128" s="10">
        <v>118</v>
      </c>
      <c r="C128" s="16">
        <f t="shared" si="8"/>
        <v>1610.4648690364172</v>
      </c>
      <c r="D128" s="16">
        <f t="shared" si="5"/>
        <v>397.54324517061292</v>
      </c>
      <c r="E128" s="16">
        <f t="shared" si="6"/>
        <v>1212.9216238658043</v>
      </c>
      <c r="F128" s="16">
        <v>1000</v>
      </c>
      <c r="G128" s="16">
        <f t="shared" si="7"/>
        <v>93197.457217081304</v>
      </c>
    </row>
    <row r="129" spans="2:7" x14ac:dyDescent="0.25">
      <c r="B129" s="10">
        <v>119</v>
      </c>
      <c r="C129" s="16">
        <f t="shared" si="8"/>
        <v>1610.4648690364172</v>
      </c>
      <c r="D129" s="16">
        <f t="shared" si="5"/>
        <v>388.32273840450546</v>
      </c>
      <c r="E129" s="16">
        <f t="shared" si="6"/>
        <v>1222.1421306319116</v>
      </c>
      <c r="F129" s="16">
        <v>1000</v>
      </c>
      <c r="G129" s="16">
        <f t="shared" si="7"/>
        <v>90975.315086449395</v>
      </c>
    </row>
    <row r="130" spans="2:7" x14ac:dyDescent="0.25">
      <c r="B130" s="10">
        <v>120</v>
      </c>
      <c r="C130" s="16">
        <f t="shared" si="8"/>
        <v>1610.4648690364172</v>
      </c>
      <c r="D130" s="16">
        <f t="shared" si="5"/>
        <v>379.06381286020581</v>
      </c>
      <c r="E130" s="16">
        <f t="shared" si="6"/>
        <v>1231.4010561762113</v>
      </c>
      <c r="F130" s="16">
        <v>1000</v>
      </c>
      <c r="G130" s="16">
        <f t="shared" si="7"/>
        <v>88743.914030273183</v>
      </c>
    </row>
    <row r="131" spans="2:7" x14ac:dyDescent="0.25">
      <c r="B131" s="10">
        <v>121</v>
      </c>
      <c r="C131" s="16">
        <f t="shared" si="8"/>
        <v>1610.4648690364172</v>
      </c>
      <c r="D131" s="16">
        <f t="shared" si="5"/>
        <v>369.76630845947159</v>
      </c>
      <c r="E131" s="16">
        <f t="shared" si="6"/>
        <v>1240.6985605769455</v>
      </c>
      <c r="F131" s="16">
        <v>1000</v>
      </c>
      <c r="G131" s="16">
        <f t="shared" si="7"/>
        <v>86503.215469696239</v>
      </c>
    </row>
    <row r="132" spans="2:7" x14ac:dyDescent="0.25">
      <c r="B132" s="10">
        <v>122</v>
      </c>
      <c r="C132" s="16">
        <f t="shared" si="8"/>
        <v>1610.4648690364172</v>
      </c>
      <c r="D132" s="16">
        <f t="shared" si="5"/>
        <v>360.43006445706766</v>
      </c>
      <c r="E132" s="16">
        <f t="shared" si="6"/>
        <v>1250.0348045793496</v>
      </c>
      <c r="F132" s="16">
        <v>1000</v>
      </c>
      <c r="G132" s="16">
        <f t="shared" si="7"/>
        <v>84253.180665116888</v>
      </c>
    </row>
    <row r="133" spans="2:7" x14ac:dyDescent="0.25">
      <c r="B133" s="10">
        <v>123</v>
      </c>
      <c r="C133" s="16">
        <f t="shared" si="8"/>
        <v>1610.4648690364172</v>
      </c>
      <c r="D133" s="16">
        <f t="shared" si="5"/>
        <v>351.05491943798705</v>
      </c>
      <c r="E133" s="16">
        <f t="shared" si="6"/>
        <v>1259.4099495984301</v>
      </c>
      <c r="F133" s="16">
        <v>1000</v>
      </c>
      <c r="G133" s="16">
        <f t="shared" si="7"/>
        <v>81993.770715518462</v>
      </c>
    </row>
    <row r="134" spans="2:7" x14ac:dyDescent="0.25">
      <c r="B134" s="10">
        <v>124</v>
      </c>
      <c r="C134" s="16">
        <f t="shared" si="8"/>
        <v>1610.4648690364172</v>
      </c>
      <c r="D134" s="16">
        <f t="shared" si="5"/>
        <v>341.64071131466028</v>
      </c>
      <c r="E134" s="16">
        <f t="shared" si="6"/>
        <v>1268.8241577217568</v>
      </c>
      <c r="F134" s="16">
        <v>1000</v>
      </c>
      <c r="G134" s="16">
        <f t="shared" si="7"/>
        <v>79724.946557796706</v>
      </c>
    </row>
    <row r="135" spans="2:7" x14ac:dyDescent="0.25">
      <c r="B135" s="10">
        <v>125</v>
      </c>
      <c r="C135" s="16">
        <f t="shared" si="8"/>
        <v>1610.4648690364172</v>
      </c>
      <c r="D135" s="16">
        <f t="shared" si="5"/>
        <v>332.18727732415294</v>
      </c>
      <c r="E135" s="16">
        <f t="shared" si="6"/>
        <v>1278.2775917122642</v>
      </c>
      <c r="F135" s="16">
        <v>1000</v>
      </c>
      <c r="G135" s="16">
        <f t="shared" si="7"/>
        <v>77446.668966084442</v>
      </c>
    </row>
    <row r="136" spans="2:7" x14ac:dyDescent="0.25">
      <c r="B136" s="10">
        <v>126</v>
      </c>
      <c r="C136" s="16">
        <f t="shared" si="8"/>
        <v>1610.4648690364172</v>
      </c>
      <c r="D136" s="16">
        <f t="shared" si="5"/>
        <v>322.69445402535183</v>
      </c>
      <c r="E136" s="16">
        <f t="shared" si="6"/>
        <v>1287.7704150110653</v>
      </c>
      <c r="F136" s="16">
        <v>1000</v>
      </c>
      <c r="G136" s="16">
        <f t="shared" si="7"/>
        <v>75158.898551073376</v>
      </c>
    </row>
    <row r="137" spans="2:7" x14ac:dyDescent="0.25">
      <c r="B137" s="10">
        <v>127</v>
      </c>
      <c r="C137" s="16">
        <f t="shared" si="8"/>
        <v>1610.4648690364172</v>
      </c>
      <c r="D137" s="16">
        <f t="shared" si="5"/>
        <v>313.16207729613905</v>
      </c>
      <c r="E137" s="16">
        <f t="shared" si="6"/>
        <v>1297.3027917402783</v>
      </c>
      <c r="F137" s="16">
        <v>1000</v>
      </c>
      <c r="G137" s="16">
        <f t="shared" si="7"/>
        <v>72861.595759333097</v>
      </c>
    </row>
    <row r="138" spans="2:7" x14ac:dyDescent="0.25">
      <c r="B138" s="10">
        <v>128</v>
      </c>
      <c r="C138" s="16">
        <f t="shared" si="8"/>
        <v>1610.4648690364172</v>
      </c>
      <c r="D138" s="16">
        <f t="shared" si="5"/>
        <v>303.58998233055456</v>
      </c>
      <c r="E138" s="16">
        <f t="shared" si="6"/>
        <v>1306.8748867058625</v>
      </c>
      <c r="F138" s="16">
        <v>1000</v>
      </c>
      <c r="G138" s="16">
        <f t="shared" si="7"/>
        <v>70554.720872627237</v>
      </c>
    </row>
    <row r="139" spans="2:7" x14ac:dyDescent="0.25">
      <c r="B139" s="10">
        <v>129</v>
      </c>
      <c r="C139" s="16">
        <f t="shared" si="8"/>
        <v>1610.4648690364172</v>
      </c>
      <c r="D139" s="16">
        <f t="shared" si="5"/>
        <v>293.97800363594683</v>
      </c>
      <c r="E139" s="16">
        <f t="shared" si="6"/>
        <v>1316.4868654004704</v>
      </c>
      <c r="F139" s="16">
        <v>1000</v>
      </c>
      <c r="G139" s="16">
        <f t="shared" si="7"/>
        <v>68238.234007226769</v>
      </c>
    </row>
    <row r="140" spans="2:7" x14ac:dyDescent="0.25">
      <c r="B140" s="10">
        <v>130</v>
      </c>
      <c r="C140" s="16">
        <f t="shared" si="8"/>
        <v>1610.4648690364172</v>
      </c>
      <c r="D140" s="16">
        <f t="shared" ref="D140:D203" si="9">G139*$C$4</f>
        <v>284.32597503011152</v>
      </c>
      <c r="E140" s="16">
        <f t="shared" ref="E140:E203" si="10">C140-D140</f>
        <v>1326.1388940063057</v>
      </c>
      <c r="F140" s="16">
        <v>1000</v>
      </c>
      <c r="G140" s="16">
        <f t="shared" ref="G140:G203" si="11">G139-F140-E140</f>
        <v>65912.095113220465</v>
      </c>
    </row>
    <row r="141" spans="2:7" x14ac:dyDescent="0.25">
      <c r="B141" s="10">
        <v>131</v>
      </c>
      <c r="C141" s="16">
        <f t="shared" si="8"/>
        <v>1610.4648690364172</v>
      </c>
      <c r="D141" s="16">
        <f t="shared" si="9"/>
        <v>274.63372963841857</v>
      </c>
      <c r="E141" s="16">
        <f t="shared" si="10"/>
        <v>1335.8311393979986</v>
      </c>
      <c r="F141" s="16">
        <v>1000</v>
      </c>
      <c r="G141" s="16">
        <f t="shared" si="11"/>
        <v>63576.263973822468</v>
      </c>
    </row>
    <row r="142" spans="2:7" x14ac:dyDescent="0.25">
      <c r="B142" s="10">
        <v>132</v>
      </c>
      <c r="C142" s="16">
        <f t="shared" si="8"/>
        <v>1610.4648690364172</v>
      </c>
      <c r="D142" s="16">
        <f t="shared" si="9"/>
        <v>264.90109989092696</v>
      </c>
      <c r="E142" s="16">
        <f t="shared" si="10"/>
        <v>1345.5637691454904</v>
      </c>
      <c r="F142" s="16">
        <v>1000</v>
      </c>
      <c r="G142" s="16">
        <f t="shared" si="11"/>
        <v>61230.700204676978</v>
      </c>
    </row>
    <row r="143" spans="2:7" x14ac:dyDescent="0.25">
      <c r="B143" s="10">
        <v>133</v>
      </c>
      <c r="C143" s="16">
        <f t="shared" si="8"/>
        <v>1610.4648690364172</v>
      </c>
      <c r="D143" s="16">
        <f t="shared" si="9"/>
        <v>255.1279175194874</v>
      </c>
      <c r="E143" s="16">
        <f t="shared" si="10"/>
        <v>1355.3369515169297</v>
      </c>
      <c r="F143" s="16">
        <v>1000</v>
      </c>
      <c r="G143" s="16">
        <f t="shared" si="11"/>
        <v>58875.363253160045</v>
      </c>
    </row>
    <row r="144" spans="2:7" x14ac:dyDescent="0.25">
      <c r="B144" s="10">
        <v>134</v>
      </c>
      <c r="C144" s="16">
        <f t="shared" si="8"/>
        <v>1610.4648690364172</v>
      </c>
      <c r="D144" s="16">
        <f t="shared" si="9"/>
        <v>245.31401355483351</v>
      </c>
      <c r="E144" s="16">
        <f t="shared" si="10"/>
        <v>1365.1508554815837</v>
      </c>
      <c r="F144" s="16">
        <v>1000</v>
      </c>
      <c r="G144" s="16">
        <f t="shared" si="11"/>
        <v>56510.212397678464</v>
      </c>
    </row>
    <row r="145" spans="2:7" x14ac:dyDescent="0.25">
      <c r="B145" s="10">
        <v>135</v>
      </c>
      <c r="C145" s="16">
        <f t="shared" si="8"/>
        <v>1610.4648690364172</v>
      </c>
      <c r="D145" s="16">
        <f t="shared" si="9"/>
        <v>235.45921832366025</v>
      </c>
      <c r="E145" s="16">
        <f t="shared" si="10"/>
        <v>1375.005650712757</v>
      </c>
      <c r="F145" s="16">
        <v>1000</v>
      </c>
      <c r="G145" s="16">
        <f t="shared" si="11"/>
        <v>54135.206746965705</v>
      </c>
    </row>
    <row r="146" spans="2:7" x14ac:dyDescent="0.25">
      <c r="B146" s="10">
        <v>136</v>
      </c>
      <c r="C146" s="16">
        <f t="shared" si="8"/>
        <v>1610.4648690364172</v>
      </c>
      <c r="D146" s="16">
        <f t="shared" si="9"/>
        <v>225.56336144569045</v>
      </c>
      <c r="E146" s="16">
        <f t="shared" si="10"/>
        <v>1384.9015075907269</v>
      </c>
      <c r="F146" s="16">
        <v>1000</v>
      </c>
      <c r="G146" s="16">
        <f t="shared" si="11"/>
        <v>51750.305239374975</v>
      </c>
    </row>
    <row r="147" spans="2:7" x14ac:dyDescent="0.25">
      <c r="B147" s="10">
        <v>137</v>
      </c>
      <c r="C147" s="16">
        <f t="shared" si="8"/>
        <v>1610.4648690364172</v>
      </c>
      <c r="D147" s="16">
        <f t="shared" si="9"/>
        <v>215.62627183072905</v>
      </c>
      <c r="E147" s="16">
        <f t="shared" si="10"/>
        <v>1394.8385972056881</v>
      </c>
      <c r="F147" s="16">
        <v>1000</v>
      </c>
      <c r="G147" s="16">
        <f t="shared" si="11"/>
        <v>49355.466642169289</v>
      </c>
    </row>
    <row r="148" spans="2:7" x14ac:dyDescent="0.25">
      <c r="B148" s="10">
        <v>138</v>
      </c>
      <c r="C148" s="16">
        <f t="shared" si="8"/>
        <v>1610.4648690364172</v>
      </c>
      <c r="D148" s="16">
        <f t="shared" si="9"/>
        <v>205.64777767570536</v>
      </c>
      <c r="E148" s="16">
        <f t="shared" si="10"/>
        <v>1404.8170913607119</v>
      </c>
      <c r="F148" s="16">
        <v>1000</v>
      </c>
      <c r="G148" s="16">
        <f t="shared" si="11"/>
        <v>46950.649550808579</v>
      </c>
    </row>
    <row r="149" spans="2:7" x14ac:dyDescent="0.25">
      <c r="B149" s="10">
        <v>139</v>
      </c>
      <c r="C149" s="16">
        <f t="shared" si="8"/>
        <v>1610.4648690364172</v>
      </c>
      <c r="D149" s="16">
        <f t="shared" si="9"/>
        <v>195.62770646170242</v>
      </c>
      <c r="E149" s="16">
        <f t="shared" si="10"/>
        <v>1414.8371625747147</v>
      </c>
      <c r="F149" s="16">
        <v>1000</v>
      </c>
      <c r="G149" s="16">
        <f t="shared" si="11"/>
        <v>44535.812388233862</v>
      </c>
    </row>
    <row r="150" spans="2:7" x14ac:dyDescent="0.25">
      <c r="B150" s="10">
        <v>140</v>
      </c>
      <c r="C150" s="16">
        <f t="shared" si="8"/>
        <v>1610.4648690364172</v>
      </c>
      <c r="D150" s="16">
        <f t="shared" si="9"/>
        <v>185.56588495097444</v>
      </c>
      <c r="E150" s="16">
        <f t="shared" si="10"/>
        <v>1424.8989840854429</v>
      </c>
      <c r="F150" s="16">
        <v>1000</v>
      </c>
      <c r="G150" s="16">
        <f t="shared" si="11"/>
        <v>42110.913404148421</v>
      </c>
    </row>
    <row r="151" spans="2:7" x14ac:dyDescent="0.25">
      <c r="B151" s="10">
        <v>141</v>
      </c>
      <c r="C151" s="16">
        <f t="shared" si="8"/>
        <v>1610.4648690364172</v>
      </c>
      <c r="D151" s="16">
        <f t="shared" si="9"/>
        <v>175.46213918395176</v>
      </c>
      <c r="E151" s="16">
        <f t="shared" si="10"/>
        <v>1435.0027298524656</v>
      </c>
      <c r="F151" s="16">
        <v>1000</v>
      </c>
      <c r="G151" s="16">
        <f t="shared" si="11"/>
        <v>39675.910674295956</v>
      </c>
    </row>
    <row r="152" spans="2:7" x14ac:dyDescent="0.25">
      <c r="B152" s="10">
        <v>142</v>
      </c>
      <c r="C152" s="16">
        <f t="shared" si="8"/>
        <v>1610.4648690364172</v>
      </c>
      <c r="D152" s="16">
        <f t="shared" si="9"/>
        <v>165.31629447623314</v>
      </c>
      <c r="E152" s="16">
        <f t="shared" si="10"/>
        <v>1445.148574560184</v>
      </c>
      <c r="F152" s="16">
        <v>1000</v>
      </c>
      <c r="G152" s="16">
        <f t="shared" si="11"/>
        <v>37230.762099735774</v>
      </c>
    </row>
    <row r="153" spans="2:7" x14ac:dyDescent="0.25">
      <c r="B153" s="10">
        <v>143</v>
      </c>
      <c r="C153" s="16">
        <f t="shared" si="8"/>
        <v>1610.4648690364172</v>
      </c>
      <c r="D153" s="16">
        <f t="shared" si="9"/>
        <v>155.12817541556572</v>
      </c>
      <c r="E153" s="16">
        <f t="shared" si="10"/>
        <v>1455.3366936208515</v>
      </c>
      <c r="F153" s="16">
        <v>1000</v>
      </c>
      <c r="G153" s="16">
        <f t="shared" si="11"/>
        <v>34775.425406114919</v>
      </c>
    </row>
    <row r="154" spans="2:7" x14ac:dyDescent="0.25">
      <c r="B154" s="10">
        <v>144</v>
      </c>
      <c r="C154" s="16">
        <f t="shared" ref="C154:C217" si="12">IF(G153&lt;$C$7,G153*(1+$C$4),$C$7)</f>
        <v>1610.4648690364172</v>
      </c>
      <c r="D154" s="16">
        <f t="shared" si="9"/>
        <v>144.89760585881217</v>
      </c>
      <c r="E154" s="16">
        <f t="shared" si="10"/>
        <v>1465.5672631776051</v>
      </c>
      <c r="F154" s="16">
        <v>1000</v>
      </c>
      <c r="G154" s="16">
        <f t="shared" si="11"/>
        <v>32309.858142937315</v>
      </c>
    </row>
    <row r="155" spans="2:7" x14ac:dyDescent="0.25">
      <c r="B155" s="10">
        <v>145</v>
      </c>
      <c r="C155" s="16">
        <f t="shared" si="12"/>
        <v>1610.4648690364172</v>
      </c>
      <c r="D155" s="16">
        <f t="shared" si="9"/>
        <v>134.62440892890547</v>
      </c>
      <c r="E155" s="16">
        <f t="shared" si="10"/>
        <v>1475.8404601075117</v>
      </c>
      <c r="F155" s="16">
        <v>1000</v>
      </c>
      <c r="G155" s="16">
        <f t="shared" si="11"/>
        <v>29834.017682829803</v>
      </c>
    </row>
    <row r="156" spans="2:7" x14ac:dyDescent="0.25">
      <c r="B156" s="10">
        <v>146</v>
      </c>
      <c r="C156" s="16">
        <f t="shared" si="12"/>
        <v>1610.4648690364172</v>
      </c>
      <c r="D156" s="16">
        <f t="shared" si="9"/>
        <v>124.30840701179085</v>
      </c>
      <c r="E156" s="16">
        <f t="shared" si="10"/>
        <v>1486.1564620246263</v>
      </c>
      <c r="F156" s="16">
        <v>1000</v>
      </c>
      <c r="G156" s="16">
        <f t="shared" si="11"/>
        <v>27347.861220805178</v>
      </c>
    </row>
    <row r="157" spans="2:7" x14ac:dyDescent="0.25">
      <c r="B157" s="10">
        <v>147</v>
      </c>
      <c r="C157" s="16">
        <f t="shared" si="12"/>
        <v>1610.4648690364172</v>
      </c>
      <c r="D157" s="16">
        <f t="shared" si="9"/>
        <v>113.94942175335491</v>
      </c>
      <c r="E157" s="16">
        <f t="shared" si="10"/>
        <v>1496.5154472830623</v>
      </c>
      <c r="F157" s="16">
        <v>1000</v>
      </c>
      <c r="G157" s="16">
        <f t="shared" si="11"/>
        <v>24851.345773522116</v>
      </c>
    </row>
    <row r="158" spans="2:7" x14ac:dyDescent="0.25">
      <c r="B158" s="10">
        <v>148</v>
      </c>
      <c r="C158" s="16">
        <f t="shared" si="12"/>
        <v>1610.4648690364172</v>
      </c>
      <c r="D158" s="16">
        <f t="shared" si="9"/>
        <v>103.54727405634215</v>
      </c>
      <c r="E158" s="16">
        <f t="shared" si="10"/>
        <v>1506.9175949800751</v>
      </c>
      <c r="F158" s="16">
        <v>1000</v>
      </c>
      <c r="G158" s="16">
        <f t="shared" si="11"/>
        <v>22344.428178542043</v>
      </c>
    </row>
    <row r="159" spans="2:7" x14ac:dyDescent="0.25">
      <c r="B159" s="10">
        <v>149</v>
      </c>
      <c r="C159" s="16">
        <f t="shared" si="12"/>
        <v>1610.4648690364172</v>
      </c>
      <c r="D159" s="16">
        <f t="shared" si="9"/>
        <v>93.101784077258515</v>
      </c>
      <c r="E159" s="16">
        <f t="shared" si="10"/>
        <v>1517.3630849591586</v>
      </c>
      <c r="F159" s="16">
        <v>1000</v>
      </c>
      <c r="G159" s="16">
        <f t="shared" si="11"/>
        <v>19827.065093582885</v>
      </c>
    </row>
    <row r="160" spans="2:7" x14ac:dyDescent="0.25">
      <c r="B160" s="10">
        <v>150</v>
      </c>
      <c r="C160" s="16">
        <f t="shared" si="12"/>
        <v>1610.4648690364172</v>
      </c>
      <c r="D160" s="16">
        <f t="shared" si="9"/>
        <v>82.612771223262015</v>
      </c>
      <c r="E160" s="16">
        <f t="shared" si="10"/>
        <v>1527.8520978131553</v>
      </c>
      <c r="F160" s="16">
        <v>1000</v>
      </c>
      <c r="G160" s="16">
        <f t="shared" si="11"/>
        <v>17299.212995769729</v>
      </c>
    </row>
    <row r="161" spans="2:7" x14ac:dyDescent="0.25">
      <c r="B161" s="10">
        <v>151</v>
      </c>
      <c r="C161" s="16">
        <f t="shared" si="12"/>
        <v>1610.4648690364172</v>
      </c>
      <c r="D161" s="16">
        <f t="shared" si="9"/>
        <v>72.080054149040535</v>
      </c>
      <c r="E161" s="16">
        <f t="shared" si="10"/>
        <v>1538.3848148873767</v>
      </c>
      <c r="F161" s="16">
        <v>1000</v>
      </c>
      <c r="G161" s="16">
        <f t="shared" si="11"/>
        <v>14760.828180882352</v>
      </c>
    </row>
    <row r="162" spans="2:7" x14ac:dyDescent="0.25">
      <c r="B162" s="10">
        <v>152</v>
      </c>
      <c r="C162" s="16">
        <f t="shared" si="12"/>
        <v>1610.4648690364172</v>
      </c>
      <c r="D162" s="16">
        <f t="shared" si="9"/>
        <v>61.503450753676468</v>
      </c>
      <c r="E162" s="16">
        <f t="shared" si="10"/>
        <v>1548.9614182827409</v>
      </c>
      <c r="F162" s="16">
        <v>1000</v>
      </c>
      <c r="G162" s="16">
        <f t="shared" si="11"/>
        <v>12211.866762599611</v>
      </c>
    </row>
    <row r="163" spans="2:7" x14ac:dyDescent="0.25">
      <c r="B163" s="10">
        <v>153</v>
      </c>
      <c r="C163" s="16">
        <f t="shared" si="12"/>
        <v>1610.4648690364172</v>
      </c>
      <c r="D163" s="16">
        <f t="shared" si="9"/>
        <v>50.882778177498381</v>
      </c>
      <c r="E163" s="16">
        <f t="shared" si="10"/>
        <v>1559.5820908589189</v>
      </c>
      <c r="F163" s="16">
        <v>1000</v>
      </c>
      <c r="G163" s="16">
        <f t="shared" si="11"/>
        <v>9652.2846717406919</v>
      </c>
    </row>
    <row r="164" spans="2:7" x14ac:dyDescent="0.25">
      <c r="B164" s="10">
        <v>154</v>
      </c>
      <c r="C164" s="16">
        <f t="shared" si="12"/>
        <v>1610.4648690364172</v>
      </c>
      <c r="D164" s="16">
        <f t="shared" si="9"/>
        <v>40.217852798919552</v>
      </c>
      <c r="E164" s="16">
        <f t="shared" si="10"/>
        <v>1570.2470162374977</v>
      </c>
      <c r="F164" s="16">
        <v>1000</v>
      </c>
      <c r="G164" s="16">
        <f t="shared" si="11"/>
        <v>7082.0376555031944</v>
      </c>
    </row>
    <row r="165" spans="2:7" x14ac:dyDescent="0.25">
      <c r="B165" s="10">
        <v>155</v>
      </c>
      <c r="C165" s="16">
        <f t="shared" si="12"/>
        <v>1610.4648690364172</v>
      </c>
      <c r="D165" s="16">
        <f t="shared" si="9"/>
        <v>29.508490231263309</v>
      </c>
      <c r="E165" s="16">
        <f t="shared" si="10"/>
        <v>1580.9563788051539</v>
      </c>
      <c r="F165" s="16">
        <v>1000</v>
      </c>
      <c r="G165" s="16">
        <f t="shared" si="11"/>
        <v>4501.0812766980407</v>
      </c>
    </row>
    <row r="166" spans="2:7" x14ac:dyDescent="0.25">
      <c r="B166" s="10">
        <v>156</v>
      </c>
      <c r="C166" s="16">
        <f t="shared" si="12"/>
        <v>1610.4648690364172</v>
      </c>
      <c r="D166" s="16">
        <f t="shared" si="9"/>
        <v>18.75450531957517</v>
      </c>
      <c r="E166" s="16">
        <f t="shared" si="10"/>
        <v>1591.710363716842</v>
      </c>
      <c r="F166" s="16">
        <v>1000</v>
      </c>
      <c r="G166" s="16">
        <f t="shared" si="11"/>
        <v>1909.3709129811987</v>
      </c>
    </row>
    <row r="167" spans="2:7" x14ac:dyDescent="0.25">
      <c r="B167" s="10">
        <v>157</v>
      </c>
      <c r="C167" s="16">
        <f t="shared" si="12"/>
        <v>1610.4648690364172</v>
      </c>
      <c r="D167" s="16">
        <f t="shared" si="9"/>
        <v>7.9557121374216608</v>
      </c>
      <c r="E167" s="16">
        <f t="shared" si="10"/>
        <v>1602.5091568989956</v>
      </c>
      <c r="F167" s="16"/>
      <c r="G167" s="16">
        <f t="shared" si="11"/>
        <v>306.8617560822031</v>
      </c>
    </row>
    <row r="168" spans="2:7" x14ac:dyDescent="0.25">
      <c r="B168" s="10">
        <v>158</v>
      </c>
      <c r="C168" s="16">
        <f t="shared" si="12"/>
        <v>308.14034673254559</v>
      </c>
      <c r="D168" s="16">
        <f t="shared" si="9"/>
        <v>1.2785906503425128</v>
      </c>
      <c r="E168" s="16">
        <f t="shared" si="10"/>
        <v>306.8617560822031</v>
      </c>
      <c r="F168" s="16"/>
      <c r="G168" s="16">
        <f t="shared" si="11"/>
        <v>0</v>
      </c>
    </row>
    <row r="169" spans="2:7" x14ac:dyDescent="0.25">
      <c r="B169" s="10">
        <v>159</v>
      </c>
      <c r="C169" s="16">
        <f t="shared" si="12"/>
        <v>0</v>
      </c>
      <c r="D169" s="16">
        <f t="shared" si="9"/>
        <v>0</v>
      </c>
      <c r="E169" s="16">
        <f t="shared" si="10"/>
        <v>0</v>
      </c>
      <c r="F169" s="16"/>
      <c r="G169" s="16">
        <f t="shared" si="11"/>
        <v>0</v>
      </c>
    </row>
    <row r="170" spans="2:7" x14ac:dyDescent="0.25">
      <c r="B170" s="10">
        <v>160</v>
      </c>
      <c r="C170" s="16">
        <f t="shared" si="12"/>
        <v>0</v>
      </c>
      <c r="D170" s="16">
        <f t="shared" si="9"/>
        <v>0</v>
      </c>
      <c r="E170" s="16">
        <f t="shared" si="10"/>
        <v>0</v>
      </c>
      <c r="F170" s="16"/>
      <c r="G170" s="16">
        <f t="shared" si="11"/>
        <v>0</v>
      </c>
    </row>
    <row r="171" spans="2:7" x14ac:dyDescent="0.25">
      <c r="B171" s="10">
        <v>161</v>
      </c>
      <c r="C171" s="16">
        <f t="shared" si="12"/>
        <v>0</v>
      </c>
      <c r="D171" s="16">
        <f t="shared" si="9"/>
        <v>0</v>
      </c>
      <c r="E171" s="16">
        <f t="shared" si="10"/>
        <v>0</v>
      </c>
      <c r="F171" s="16"/>
      <c r="G171" s="16">
        <f t="shared" si="11"/>
        <v>0</v>
      </c>
    </row>
    <row r="172" spans="2:7" x14ac:dyDescent="0.25">
      <c r="B172" s="10">
        <v>162</v>
      </c>
      <c r="C172" s="16">
        <f t="shared" si="12"/>
        <v>0</v>
      </c>
      <c r="D172" s="16">
        <f t="shared" si="9"/>
        <v>0</v>
      </c>
      <c r="E172" s="16">
        <f t="shared" si="10"/>
        <v>0</v>
      </c>
      <c r="F172" s="16"/>
      <c r="G172" s="16">
        <f t="shared" si="11"/>
        <v>0</v>
      </c>
    </row>
    <row r="173" spans="2:7" x14ac:dyDescent="0.25">
      <c r="B173" s="10">
        <v>163</v>
      </c>
      <c r="C173" s="16">
        <f t="shared" si="12"/>
        <v>0</v>
      </c>
      <c r="D173" s="16">
        <f t="shared" si="9"/>
        <v>0</v>
      </c>
      <c r="E173" s="16">
        <f t="shared" si="10"/>
        <v>0</v>
      </c>
      <c r="F173" s="16"/>
      <c r="G173" s="16">
        <f t="shared" si="11"/>
        <v>0</v>
      </c>
    </row>
    <row r="174" spans="2:7" x14ac:dyDescent="0.25">
      <c r="B174" s="10">
        <v>164</v>
      </c>
      <c r="C174" s="16">
        <f t="shared" si="12"/>
        <v>0</v>
      </c>
      <c r="D174" s="16">
        <f t="shared" si="9"/>
        <v>0</v>
      </c>
      <c r="E174" s="16">
        <f t="shared" si="10"/>
        <v>0</v>
      </c>
      <c r="F174" s="16"/>
      <c r="G174" s="16">
        <f t="shared" si="11"/>
        <v>0</v>
      </c>
    </row>
    <row r="175" spans="2:7" x14ac:dyDescent="0.25">
      <c r="B175" s="10">
        <v>165</v>
      </c>
      <c r="C175" s="16">
        <f t="shared" si="12"/>
        <v>0</v>
      </c>
      <c r="D175" s="16">
        <f t="shared" si="9"/>
        <v>0</v>
      </c>
      <c r="E175" s="16">
        <f t="shared" si="10"/>
        <v>0</v>
      </c>
      <c r="F175" s="16"/>
      <c r="G175" s="16">
        <f t="shared" si="11"/>
        <v>0</v>
      </c>
    </row>
    <row r="176" spans="2:7" x14ac:dyDescent="0.25">
      <c r="B176" s="10">
        <v>166</v>
      </c>
      <c r="C176" s="16">
        <f t="shared" si="12"/>
        <v>0</v>
      </c>
      <c r="D176" s="16">
        <f t="shared" si="9"/>
        <v>0</v>
      </c>
      <c r="E176" s="16">
        <f t="shared" si="10"/>
        <v>0</v>
      </c>
      <c r="F176" s="16"/>
      <c r="G176" s="16">
        <f t="shared" si="11"/>
        <v>0</v>
      </c>
    </row>
    <row r="177" spans="2:7" x14ac:dyDescent="0.25">
      <c r="B177" s="10">
        <v>167</v>
      </c>
      <c r="C177" s="16">
        <f t="shared" si="12"/>
        <v>0</v>
      </c>
      <c r="D177" s="16">
        <f t="shared" si="9"/>
        <v>0</v>
      </c>
      <c r="E177" s="16">
        <f t="shared" si="10"/>
        <v>0</v>
      </c>
      <c r="F177" s="16"/>
      <c r="G177" s="16">
        <f t="shared" si="11"/>
        <v>0</v>
      </c>
    </row>
    <row r="178" spans="2:7" x14ac:dyDescent="0.25">
      <c r="B178" s="10">
        <v>168</v>
      </c>
      <c r="C178" s="16">
        <f t="shared" si="12"/>
        <v>0</v>
      </c>
      <c r="D178" s="16">
        <f t="shared" si="9"/>
        <v>0</v>
      </c>
      <c r="E178" s="16">
        <f t="shared" si="10"/>
        <v>0</v>
      </c>
      <c r="F178" s="16"/>
      <c r="G178" s="16">
        <f t="shared" si="11"/>
        <v>0</v>
      </c>
    </row>
    <row r="179" spans="2:7" x14ac:dyDescent="0.25">
      <c r="B179" s="10">
        <v>169</v>
      </c>
      <c r="C179" s="16">
        <f t="shared" si="12"/>
        <v>0</v>
      </c>
      <c r="D179" s="16">
        <f t="shared" si="9"/>
        <v>0</v>
      </c>
      <c r="E179" s="16">
        <f t="shared" si="10"/>
        <v>0</v>
      </c>
      <c r="F179" s="16"/>
      <c r="G179" s="16">
        <f t="shared" si="11"/>
        <v>0</v>
      </c>
    </row>
    <row r="180" spans="2:7" x14ac:dyDescent="0.25">
      <c r="B180" s="10">
        <v>170</v>
      </c>
      <c r="C180" s="16">
        <f t="shared" si="12"/>
        <v>0</v>
      </c>
      <c r="D180" s="16">
        <f t="shared" si="9"/>
        <v>0</v>
      </c>
      <c r="E180" s="16">
        <f t="shared" si="10"/>
        <v>0</v>
      </c>
      <c r="F180" s="16"/>
      <c r="G180" s="16">
        <f t="shared" si="11"/>
        <v>0</v>
      </c>
    </row>
    <row r="181" spans="2:7" x14ac:dyDescent="0.25">
      <c r="B181" s="10">
        <v>171</v>
      </c>
      <c r="C181" s="16">
        <f t="shared" si="12"/>
        <v>0</v>
      </c>
      <c r="D181" s="16">
        <f t="shared" si="9"/>
        <v>0</v>
      </c>
      <c r="E181" s="16">
        <f t="shared" si="10"/>
        <v>0</v>
      </c>
      <c r="F181" s="16"/>
      <c r="G181" s="16">
        <f t="shared" si="11"/>
        <v>0</v>
      </c>
    </row>
    <row r="182" spans="2:7" x14ac:dyDescent="0.25">
      <c r="B182" s="10">
        <v>172</v>
      </c>
      <c r="C182" s="16">
        <f t="shared" si="12"/>
        <v>0</v>
      </c>
      <c r="D182" s="16">
        <f t="shared" si="9"/>
        <v>0</v>
      </c>
      <c r="E182" s="16">
        <f t="shared" si="10"/>
        <v>0</v>
      </c>
      <c r="F182" s="16"/>
      <c r="G182" s="16">
        <f t="shared" si="11"/>
        <v>0</v>
      </c>
    </row>
    <row r="183" spans="2:7" x14ac:dyDescent="0.25">
      <c r="B183" s="10">
        <v>173</v>
      </c>
      <c r="C183" s="16">
        <f t="shared" si="12"/>
        <v>0</v>
      </c>
      <c r="D183" s="16">
        <f t="shared" si="9"/>
        <v>0</v>
      </c>
      <c r="E183" s="16">
        <f t="shared" si="10"/>
        <v>0</v>
      </c>
      <c r="F183" s="16"/>
      <c r="G183" s="16">
        <f t="shared" si="11"/>
        <v>0</v>
      </c>
    </row>
    <row r="184" spans="2:7" x14ac:dyDescent="0.25">
      <c r="B184" s="10">
        <v>174</v>
      </c>
      <c r="C184" s="16">
        <f t="shared" si="12"/>
        <v>0</v>
      </c>
      <c r="D184" s="16">
        <f t="shared" si="9"/>
        <v>0</v>
      </c>
      <c r="E184" s="16">
        <f t="shared" si="10"/>
        <v>0</v>
      </c>
      <c r="F184" s="16"/>
      <c r="G184" s="16">
        <f t="shared" si="11"/>
        <v>0</v>
      </c>
    </row>
    <row r="185" spans="2:7" x14ac:dyDescent="0.25">
      <c r="B185" s="10">
        <v>175</v>
      </c>
      <c r="C185" s="16">
        <f t="shared" si="12"/>
        <v>0</v>
      </c>
      <c r="D185" s="16">
        <f t="shared" si="9"/>
        <v>0</v>
      </c>
      <c r="E185" s="16">
        <f t="shared" si="10"/>
        <v>0</v>
      </c>
      <c r="F185" s="16"/>
      <c r="G185" s="16">
        <f t="shared" si="11"/>
        <v>0</v>
      </c>
    </row>
    <row r="186" spans="2:7" x14ac:dyDescent="0.25">
      <c r="B186" s="10">
        <v>176</v>
      </c>
      <c r="C186" s="16">
        <f t="shared" si="12"/>
        <v>0</v>
      </c>
      <c r="D186" s="16">
        <f t="shared" si="9"/>
        <v>0</v>
      </c>
      <c r="E186" s="16">
        <f t="shared" si="10"/>
        <v>0</v>
      </c>
      <c r="F186" s="16"/>
      <c r="G186" s="16">
        <f t="shared" si="11"/>
        <v>0</v>
      </c>
    </row>
    <row r="187" spans="2:7" x14ac:dyDescent="0.25">
      <c r="B187" s="10">
        <v>177</v>
      </c>
      <c r="C187" s="16">
        <f t="shared" si="12"/>
        <v>0</v>
      </c>
      <c r="D187" s="16">
        <f t="shared" si="9"/>
        <v>0</v>
      </c>
      <c r="E187" s="16">
        <f t="shared" si="10"/>
        <v>0</v>
      </c>
      <c r="F187" s="16"/>
      <c r="G187" s="16">
        <f t="shared" si="11"/>
        <v>0</v>
      </c>
    </row>
    <row r="188" spans="2:7" x14ac:dyDescent="0.25">
      <c r="B188" s="10">
        <v>178</v>
      </c>
      <c r="C188" s="16">
        <f t="shared" si="12"/>
        <v>0</v>
      </c>
      <c r="D188" s="16">
        <f t="shared" si="9"/>
        <v>0</v>
      </c>
      <c r="E188" s="16">
        <f t="shared" si="10"/>
        <v>0</v>
      </c>
      <c r="F188" s="16"/>
      <c r="G188" s="16">
        <f t="shared" si="11"/>
        <v>0</v>
      </c>
    </row>
    <row r="189" spans="2:7" x14ac:dyDescent="0.25">
      <c r="B189" s="10">
        <v>179</v>
      </c>
      <c r="C189" s="16">
        <f t="shared" si="12"/>
        <v>0</v>
      </c>
      <c r="D189" s="16">
        <f t="shared" si="9"/>
        <v>0</v>
      </c>
      <c r="E189" s="16">
        <f t="shared" si="10"/>
        <v>0</v>
      </c>
      <c r="F189" s="16"/>
      <c r="G189" s="16">
        <f t="shared" si="11"/>
        <v>0</v>
      </c>
    </row>
    <row r="190" spans="2:7" x14ac:dyDescent="0.25">
      <c r="B190" s="10">
        <v>180</v>
      </c>
      <c r="C190" s="16">
        <f t="shared" si="12"/>
        <v>0</v>
      </c>
      <c r="D190" s="16">
        <f t="shared" si="9"/>
        <v>0</v>
      </c>
      <c r="E190" s="16">
        <f t="shared" si="10"/>
        <v>0</v>
      </c>
      <c r="F190" s="16"/>
      <c r="G190" s="16">
        <f t="shared" si="11"/>
        <v>0</v>
      </c>
    </row>
    <row r="191" spans="2:7" x14ac:dyDescent="0.25">
      <c r="B191" s="10">
        <v>181</v>
      </c>
      <c r="C191" s="16">
        <f t="shared" si="12"/>
        <v>0</v>
      </c>
      <c r="D191" s="16">
        <f t="shared" si="9"/>
        <v>0</v>
      </c>
      <c r="E191" s="16">
        <f t="shared" si="10"/>
        <v>0</v>
      </c>
      <c r="F191" s="16"/>
      <c r="G191" s="16">
        <f t="shared" si="11"/>
        <v>0</v>
      </c>
    </row>
    <row r="192" spans="2:7" x14ac:dyDescent="0.25">
      <c r="B192" s="10">
        <v>182</v>
      </c>
      <c r="C192" s="16">
        <f t="shared" si="12"/>
        <v>0</v>
      </c>
      <c r="D192" s="16">
        <f t="shared" si="9"/>
        <v>0</v>
      </c>
      <c r="E192" s="16">
        <f t="shared" si="10"/>
        <v>0</v>
      </c>
      <c r="F192" s="16"/>
      <c r="G192" s="16">
        <f t="shared" si="11"/>
        <v>0</v>
      </c>
    </row>
    <row r="193" spans="2:7" x14ac:dyDescent="0.25">
      <c r="B193" s="10">
        <v>183</v>
      </c>
      <c r="C193" s="16">
        <f t="shared" si="12"/>
        <v>0</v>
      </c>
      <c r="D193" s="16">
        <f t="shared" si="9"/>
        <v>0</v>
      </c>
      <c r="E193" s="16">
        <f t="shared" si="10"/>
        <v>0</v>
      </c>
      <c r="F193" s="16"/>
      <c r="G193" s="16">
        <f t="shared" si="11"/>
        <v>0</v>
      </c>
    </row>
    <row r="194" spans="2:7" x14ac:dyDescent="0.25">
      <c r="B194" s="10">
        <v>184</v>
      </c>
      <c r="C194" s="16">
        <f t="shared" si="12"/>
        <v>0</v>
      </c>
      <c r="D194" s="16">
        <f t="shared" si="9"/>
        <v>0</v>
      </c>
      <c r="E194" s="16">
        <f t="shared" si="10"/>
        <v>0</v>
      </c>
      <c r="F194" s="16"/>
      <c r="G194" s="16">
        <f t="shared" si="11"/>
        <v>0</v>
      </c>
    </row>
    <row r="195" spans="2:7" x14ac:dyDescent="0.25">
      <c r="B195" s="10">
        <v>185</v>
      </c>
      <c r="C195" s="16">
        <f t="shared" si="12"/>
        <v>0</v>
      </c>
      <c r="D195" s="16">
        <f t="shared" si="9"/>
        <v>0</v>
      </c>
      <c r="E195" s="16">
        <f t="shared" si="10"/>
        <v>0</v>
      </c>
      <c r="F195" s="16"/>
      <c r="G195" s="16">
        <f t="shared" si="11"/>
        <v>0</v>
      </c>
    </row>
    <row r="196" spans="2:7" x14ac:dyDescent="0.25">
      <c r="B196" s="10">
        <v>186</v>
      </c>
      <c r="C196" s="16">
        <f t="shared" si="12"/>
        <v>0</v>
      </c>
      <c r="D196" s="16">
        <f t="shared" si="9"/>
        <v>0</v>
      </c>
      <c r="E196" s="16">
        <f t="shared" si="10"/>
        <v>0</v>
      </c>
      <c r="F196" s="16"/>
      <c r="G196" s="16">
        <f t="shared" si="11"/>
        <v>0</v>
      </c>
    </row>
    <row r="197" spans="2:7" x14ac:dyDescent="0.25">
      <c r="B197" s="10">
        <v>187</v>
      </c>
      <c r="C197" s="16">
        <f t="shared" si="12"/>
        <v>0</v>
      </c>
      <c r="D197" s="16">
        <f t="shared" si="9"/>
        <v>0</v>
      </c>
      <c r="E197" s="16">
        <f t="shared" si="10"/>
        <v>0</v>
      </c>
      <c r="F197" s="16"/>
      <c r="G197" s="16">
        <f t="shared" si="11"/>
        <v>0</v>
      </c>
    </row>
    <row r="198" spans="2:7" x14ac:dyDescent="0.25">
      <c r="B198" s="10">
        <v>188</v>
      </c>
      <c r="C198" s="16">
        <f t="shared" si="12"/>
        <v>0</v>
      </c>
      <c r="D198" s="16">
        <f t="shared" si="9"/>
        <v>0</v>
      </c>
      <c r="E198" s="16">
        <f t="shared" si="10"/>
        <v>0</v>
      </c>
      <c r="F198" s="16"/>
      <c r="G198" s="16">
        <f t="shared" si="11"/>
        <v>0</v>
      </c>
    </row>
    <row r="199" spans="2:7" x14ac:dyDescent="0.25">
      <c r="B199" s="10">
        <v>189</v>
      </c>
      <c r="C199" s="16">
        <f t="shared" si="12"/>
        <v>0</v>
      </c>
      <c r="D199" s="16">
        <f t="shared" si="9"/>
        <v>0</v>
      </c>
      <c r="E199" s="16">
        <f t="shared" si="10"/>
        <v>0</v>
      </c>
      <c r="F199" s="16"/>
      <c r="G199" s="16">
        <f t="shared" si="11"/>
        <v>0</v>
      </c>
    </row>
    <row r="200" spans="2:7" x14ac:dyDescent="0.25">
      <c r="B200" s="10">
        <v>190</v>
      </c>
      <c r="C200" s="16">
        <f t="shared" si="12"/>
        <v>0</v>
      </c>
      <c r="D200" s="16">
        <f t="shared" si="9"/>
        <v>0</v>
      </c>
      <c r="E200" s="16">
        <f t="shared" si="10"/>
        <v>0</v>
      </c>
      <c r="F200" s="16"/>
      <c r="G200" s="16">
        <f t="shared" si="11"/>
        <v>0</v>
      </c>
    </row>
    <row r="201" spans="2:7" x14ac:dyDescent="0.25">
      <c r="B201" s="10">
        <v>191</v>
      </c>
      <c r="C201" s="16">
        <f t="shared" si="12"/>
        <v>0</v>
      </c>
      <c r="D201" s="16">
        <f t="shared" si="9"/>
        <v>0</v>
      </c>
      <c r="E201" s="16">
        <f t="shared" si="10"/>
        <v>0</v>
      </c>
      <c r="F201" s="16"/>
      <c r="G201" s="16">
        <f t="shared" si="11"/>
        <v>0</v>
      </c>
    </row>
    <row r="202" spans="2:7" x14ac:dyDescent="0.25">
      <c r="B202" s="10">
        <v>192</v>
      </c>
      <c r="C202" s="16">
        <f t="shared" si="12"/>
        <v>0</v>
      </c>
      <c r="D202" s="16">
        <f t="shared" si="9"/>
        <v>0</v>
      </c>
      <c r="E202" s="16">
        <f t="shared" si="10"/>
        <v>0</v>
      </c>
      <c r="F202" s="16"/>
      <c r="G202" s="16">
        <f t="shared" si="11"/>
        <v>0</v>
      </c>
    </row>
    <row r="203" spans="2:7" x14ac:dyDescent="0.25">
      <c r="B203" s="10">
        <v>193</v>
      </c>
      <c r="C203" s="16">
        <f t="shared" si="12"/>
        <v>0</v>
      </c>
      <c r="D203" s="16">
        <f t="shared" si="9"/>
        <v>0</v>
      </c>
      <c r="E203" s="16">
        <f t="shared" si="10"/>
        <v>0</v>
      </c>
      <c r="F203" s="16"/>
      <c r="G203" s="16">
        <f t="shared" si="11"/>
        <v>0</v>
      </c>
    </row>
    <row r="204" spans="2:7" x14ac:dyDescent="0.25">
      <c r="B204" s="10">
        <v>194</v>
      </c>
      <c r="C204" s="16">
        <f t="shared" si="12"/>
        <v>0</v>
      </c>
      <c r="D204" s="16">
        <f t="shared" ref="D204:D267" si="13">G203*$C$4</f>
        <v>0</v>
      </c>
      <c r="E204" s="16">
        <f t="shared" ref="E204:E267" si="14">C204-D204</f>
        <v>0</v>
      </c>
      <c r="F204" s="16"/>
      <c r="G204" s="16">
        <f t="shared" ref="G204:G267" si="15">G203-F204-E204</f>
        <v>0</v>
      </c>
    </row>
    <row r="205" spans="2:7" x14ac:dyDescent="0.25">
      <c r="B205" s="10">
        <v>195</v>
      </c>
      <c r="C205" s="16">
        <f t="shared" si="12"/>
        <v>0</v>
      </c>
      <c r="D205" s="16">
        <f t="shared" si="13"/>
        <v>0</v>
      </c>
      <c r="E205" s="16">
        <f t="shared" si="14"/>
        <v>0</v>
      </c>
      <c r="F205" s="16"/>
      <c r="G205" s="16">
        <f t="shared" si="15"/>
        <v>0</v>
      </c>
    </row>
    <row r="206" spans="2:7" x14ac:dyDescent="0.25">
      <c r="B206" s="10">
        <v>196</v>
      </c>
      <c r="C206" s="16">
        <f t="shared" si="12"/>
        <v>0</v>
      </c>
      <c r="D206" s="16">
        <f t="shared" si="13"/>
        <v>0</v>
      </c>
      <c r="E206" s="16">
        <f t="shared" si="14"/>
        <v>0</v>
      </c>
      <c r="F206" s="16"/>
      <c r="G206" s="16">
        <f t="shared" si="15"/>
        <v>0</v>
      </c>
    </row>
    <row r="207" spans="2:7" x14ac:dyDescent="0.25">
      <c r="B207" s="10">
        <v>197</v>
      </c>
      <c r="C207" s="16">
        <f t="shared" si="12"/>
        <v>0</v>
      </c>
      <c r="D207" s="16">
        <f t="shared" si="13"/>
        <v>0</v>
      </c>
      <c r="E207" s="16">
        <f t="shared" si="14"/>
        <v>0</v>
      </c>
      <c r="F207" s="16"/>
      <c r="G207" s="16">
        <f t="shared" si="15"/>
        <v>0</v>
      </c>
    </row>
    <row r="208" spans="2:7" x14ac:dyDescent="0.25">
      <c r="B208" s="10">
        <v>198</v>
      </c>
      <c r="C208" s="16">
        <f t="shared" si="12"/>
        <v>0</v>
      </c>
      <c r="D208" s="16">
        <f t="shared" si="13"/>
        <v>0</v>
      </c>
      <c r="E208" s="16">
        <f t="shared" si="14"/>
        <v>0</v>
      </c>
      <c r="F208" s="16"/>
      <c r="G208" s="16">
        <f t="shared" si="15"/>
        <v>0</v>
      </c>
    </row>
    <row r="209" spans="2:7" x14ac:dyDescent="0.25">
      <c r="B209" s="10">
        <v>199</v>
      </c>
      <c r="C209" s="16">
        <f t="shared" si="12"/>
        <v>0</v>
      </c>
      <c r="D209" s="16">
        <f t="shared" si="13"/>
        <v>0</v>
      </c>
      <c r="E209" s="16">
        <f t="shared" si="14"/>
        <v>0</v>
      </c>
      <c r="F209" s="16"/>
      <c r="G209" s="16">
        <f t="shared" si="15"/>
        <v>0</v>
      </c>
    </row>
    <row r="210" spans="2:7" x14ac:dyDescent="0.25">
      <c r="B210" s="10">
        <v>200</v>
      </c>
      <c r="C210" s="16">
        <f t="shared" si="12"/>
        <v>0</v>
      </c>
      <c r="D210" s="16">
        <f t="shared" si="13"/>
        <v>0</v>
      </c>
      <c r="E210" s="16">
        <f t="shared" si="14"/>
        <v>0</v>
      </c>
      <c r="F210" s="16"/>
      <c r="G210" s="16">
        <f t="shared" si="15"/>
        <v>0</v>
      </c>
    </row>
    <row r="211" spans="2:7" x14ac:dyDescent="0.25">
      <c r="B211" s="10">
        <v>201</v>
      </c>
      <c r="C211" s="16">
        <f t="shared" si="12"/>
        <v>0</v>
      </c>
      <c r="D211" s="16">
        <f t="shared" si="13"/>
        <v>0</v>
      </c>
      <c r="E211" s="16">
        <f t="shared" si="14"/>
        <v>0</v>
      </c>
      <c r="F211" s="16"/>
      <c r="G211" s="16">
        <f t="shared" si="15"/>
        <v>0</v>
      </c>
    </row>
    <row r="212" spans="2:7" x14ac:dyDescent="0.25">
      <c r="B212" s="10">
        <v>202</v>
      </c>
      <c r="C212" s="16">
        <f t="shared" si="12"/>
        <v>0</v>
      </c>
      <c r="D212" s="16">
        <f t="shared" si="13"/>
        <v>0</v>
      </c>
      <c r="E212" s="16">
        <f t="shared" si="14"/>
        <v>0</v>
      </c>
      <c r="F212" s="16"/>
      <c r="G212" s="16">
        <f t="shared" si="15"/>
        <v>0</v>
      </c>
    </row>
    <row r="213" spans="2:7" x14ac:dyDescent="0.25">
      <c r="B213" s="10">
        <v>203</v>
      </c>
      <c r="C213" s="16">
        <f t="shared" si="12"/>
        <v>0</v>
      </c>
      <c r="D213" s="16">
        <f t="shared" si="13"/>
        <v>0</v>
      </c>
      <c r="E213" s="16">
        <f t="shared" si="14"/>
        <v>0</v>
      </c>
      <c r="F213" s="16"/>
      <c r="G213" s="16">
        <f t="shared" si="15"/>
        <v>0</v>
      </c>
    </row>
    <row r="214" spans="2:7" x14ac:dyDescent="0.25">
      <c r="B214" s="10">
        <v>204</v>
      </c>
      <c r="C214" s="16">
        <f t="shared" si="12"/>
        <v>0</v>
      </c>
      <c r="D214" s="16">
        <f t="shared" si="13"/>
        <v>0</v>
      </c>
      <c r="E214" s="16">
        <f t="shared" si="14"/>
        <v>0</v>
      </c>
      <c r="F214" s="16"/>
      <c r="G214" s="16">
        <f t="shared" si="15"/>
        <v>0</v>
      </c>
    </row>
    <row r="215" spans="2:7" x14ac:dyDescent="0.25">
      <c r="B215" s="10">
        <v>205</v>
      </c>
      <c r="C215" s="16">
        <f t="shared" si="12"/>
        <v>0</v>
      </c>
      <c r="D215" s="16">
        <f t="shared" si="13"/>
        <v>0</v>
      </c>
      <c r="E215" s="16">
        <f t="shared" si="14"/>
        <v>0</v>
      </c>
      <c r="F215" s="16"/>
      <c r="G215" s="16">
        <f t="shared" si="15"/>
        <v>0</v>
      </c>
    </row>
    <row r="216" spans="2:7" x14ac:dyDescent="0.25">
      <c r="B216" s="10">
        <v>206</v>
      </c>
      <c r="C216" s="16">
        <f t="shared" si="12"/>
        <v>0</v>
      </c>
      <c r="D216" s="16">
        <f t="shared" si="13"/>
        <v>0</v>
      </c>
      <c r="E216" s="16">
        <f t="shared" si="14"/>
        <v>0</v>
      </c>
      <c r="F216" s="16"/>
      <c r="G216" s="16">
        <f t="shared" si="15"/>
        <v>0</v>
      </c>
    </row>
    <row r="217" spans="2:7" x14ac:dyDescent="0.25">
      <c r="B217" s="10">
        <v>207</v>
      </c>
      <c r="C217" s="16">
        <f t="shared" si="12"/>
        <v>0</v>
      </c>
      <c r="D217" s="16">
        <f t="shared" si="13"/>
        <v>0</v>
      </c>
      <c r="E217" s="16">
        <f t="shared" si="14"/>
        <v>0</v>
      </c>
      <c r="F217" s="16"/>
      <c r="G217" s="16">
        <f t="shared" si="15"/>
        <v>0</v>
      </c>
    </row>
    <row r="218" spans="2:7" x14ac:dyDescent="0.25">
      <c r="B218" s="10">
        <v>208</v>
      </c>
      <c r="C218" s="16">
        <f t="shared" ref="C218:C281" si="16">IF(G217&lt;$C$7,G217*(1+$C$4),$C$7)</f>
        <v>0</v>
      </c>
      <c r="D218" s="16">
        <f t="shared" si="13"/>
        <v>0</v>
      </c>
      <c r="E218" s="16">
        <f t="shared" si="14"/>
        <v>0</v>
      </c>
      <c r="F218" s="16"/>
      <c r="G218" s="16">
        <f t="shared" si="15"/>
        <v>0</v>
      </c>
    </row>
    <row r="219" spans="2:7" x14ac:dyDescent="0.25">
      <c r="B219" s="10">
        <v>209</v>
      </c>
      <c r="C219" s="16">
        <f t="shared" si="16"/>
        <v>0</v>
      </c>
      <c r="D219" s="16">
        <f t="shared" si="13"/>
        <v>0</v>
      </c>
      <c r="E219" s="16">
        <f t="shared" si="14"/>
        <v>0</v>
      </c>
      <c r="F219" s="16"/>
      <c r="G219" s="16">
        <f t="shared" si="15"/>
        <v>0</v>
      </c>
    </row>
    <row r="220" spans="2:7" x14ac:dyDescent="0.25">
      <c r="B220" s="10">
        <v>210</v>
      </c>
      <c r="C220" s="16">
        <f t="shared" si="16"/>
        <v>0</v>
      </c>
      <c r="D220" s="16">
        <f t="shared" si="13"/>
        <v>0</v>
      </c>
      <c r="E220" s="16">
        <f t="shared" si="14"/>
        <v>0</v>
      </c>
      <c r="F220" s="16"/>
      <c r="G220" s="16">
        <f t="shared" si="15"/>
        <v>0</v>
      </c>
    </row>
    <row r="221" spans="2:7" x14ac:dyDescent="0.25">
      <c r="B221" s="10">
        <v>211</v>
      </c>
      <c r="C221" s="16">
        <f t="shared" si="16"/>
        <v>0</v>
      </c>
      <c r="D221" s="16">
        <f t="shared" si="13"/>
        <v>0</v>
      </c>
      <c r="E221" s="16">
        <f t="shared" si="14"/>
        <v>0</v>
      </c>
      <c r="F221" s="16"/>
      <c r="G221" s="16">
        <f t="shared" si="15"/>
        <v>0</v>
      </c>
    </row>
    <row r="222" spans="2:7" x14ac:dyDescent="0.25">
      <c r="B222" s="10">
        <v>212</v>
      </c>
      <c r="C222" s="16">
        <f t="shared" si="16"/>
        <v>0</v>
      </c>
      <c r="D222" s="16">
        <f t="shared" si="13"/>
        <v>0</v>
      </c>
      <c r="E222" s="16">
        <f t="shared" si="14"/>
        <v>0</v>
      </c>
      <c r="F222" s="16"/>
      <c r="G222" s="16">
        <f t="shared" si="15"/>
        <v>0</v>
      </c>
    </row>
    <row r="223" spans="2:7" x14ac:dyDescent="0.25">
      <c r="B223" s="10">
        <v>213</v>
      </c>
      <c r="C223" s="16">
        <f t="shared" si="16"/>
        <v>0</v>
      </c>
      <c r="D223" s="16">
        <f t="shared" si="13"/>
        <v>0</v>
      </c>
      <c r="E223" s="16">
        <f t="shared" si="14"/>
        <v>0</v>
      </c>
      <c r="F223" s="16"/>
      <c r="G223" s="16">
        <f t="shared" si="15"/>
        <v>0</v>
      </c>
    </row>
    <row r="224" spans="2:7" x14ac:dyDescent="0.25">
      <c r="B224" s="10">
        <v>214</v>
      </c>
      <c r="C224" s="16">
        <f t="shared" si="16"/>
        <v>0</v>
      </c>
      <c r="D224" s="16">
        <f t="shared" si="13"/>
        <v>0</v>
      </c>
      <c r="E224" s="16">
        <f t="shared" si="14"/>
        <v>0</v>
      </c>
      <c r="F224" s="16"/>
      <c r="G224" s="16">
        <f t="shared" si="15"/>
        <v>0</v>
      </c>
    </row>
    <row r="225" spans="2:7" x14ac:dyDescent="0.25">
      <c r="B225" s="10">
        <v>215</v>
      </c>
      <c r="C225" s="16">
        <f t="shared" si="16"/>
        <v>0</v>
      </c>
      <c r="D225" s="16">
        <f t="shared" si="13"/>
        <v>0</v>
      </c>
      <c r="E225" s="16">
        <f t="shared" si="14"/>
        <v>0</v>
      </c>
      <c r="F225" s="16"/>
      <c r="G225" s="16">
        <f t="shared" si="15"/>
        <v>0</v>
      </c>
    </row>
    <row r="226" spans="2:7" x14ac:dyDescent="0.25">
      <c r="B226" s="10">
        <v>216</v>
      </c>
      <c r="C226" s="16">
        <f t="shared" si="16"/>
        <v>0</v>
      </c>
      <c r="D226" s="16">
        <f t="shared" si="13"/>
        <v>0</v>
      </c>
      <c r="E226" s="16">
        <f t="shared" si="14"/>
        <v>0</v>
      </c>
      <c r="F226" s="16"/>
      <c r="G226" s="16">
        <f t="shared" si="15"/>
        <v>0</v>
      </c>
    </row>
    <row r="227" spans="2:7" x14ac:dyDescent="0.25">
      <c r="B227" s="10">
        <v>217</v>
      </c>
      <c r="C227" s="16">
        <f t="shared" si="16"/>
        <v>0</v>
      </c>
      <c r="D227" s="16">
        <f t="shared" si="13"/>
        <v>0</v>
      </c>
      <c r="E227" s="16">
        <f t="shared" si="14"/>
        <v>0</v>
      </c>
      <c r="F227" s="16"/>
      <c r="G227" s="16">
        <f t="shared" si="15"/>
        <v>0</v>
      </c>
    </row>
    <row r="228" spans="2:7" x14ac:dyDescent="0.25">
      <c r="B228" s="10">
        <v>218</v>
      </c>
      <c r="C228" s="16">
        <f t="shared" si="16"/>
        <v>0</v>
      </c>
      <c r="D228" s="16">
        <f t="shared" si="13"/>
        <v>0</v>
      </c>
      <c r="E228" s="16">
        <f t="shared" si="14"/>
        <v>0</v>
      </c>
      <c r="F228" s="16"/>
      <c r="G228" s="16">
        <f t="shared" si="15"/>
        <v>0</v>
      </c>
    </row>
    <row r="229" spans="2:7" x14ac:dyDescent="0.25">
      <c r="B229" s="10">
        <v>219</v>
      </c>
      <c r="C229" s="16">
        <f t="shared" si="16"/>
        <v>0</v>
      </c>
      <c r="D229" s="16">
        <f t="shared" si="13"/>
        <v>0</v>
      </c>
      <c r="E229" s="16">
        <f t="shared" si="14"/>
        <v>0</v>
      </c>
      <c r="F229" s="16"/>
      <c r="G229" s="16">
        <f t="shared" si="15"/>
        <v>0</v>
      </c>
    </row>
    <row r="230" spans="2:7" x14ac:dyDescent="0.25">
      <c r="B230" s="10">
        <v>220</v>
      </c>
      <c r="C230" s="16">
        <f t="shared" si="16"/>
        <v>0</v>
      </c>
      <c r="D230" s="16">
        <f t="shared" si="13"/>
        <v>0</v>
      </c>
      <c r="E230" s="16">
        <f t="shared" si="14"/>
        <v>0</v>
      </c>
      <c r="F230" s="16"/>
      <c r="G230" s="16">
        <f t="shared" si="15"/>
        <v>0</v>
      </c>
    </row>
    <row r="231" spans="2:7" x14ac:dyDescent="0.25">
      <c r="B231" s="10">
        <v>221</v>
      </c>
      <c r="C231" s="16">
        <f t="shared" si="16"/>
        <v>0</v>
      </c>
      <c r="D231" s="16">
        <f t="shared" si="13"/>
        <v>0</v>
      </c>
      <c r="E231" s="16">
        <f t="shared" si="14"/>
        <v>0</v>
      </c>
      <c r="F231" s="16"/>
      <c r="G231" s="16">
        <f t="shared" si="15"/>
        <v>0</v>
      </c>
    </row>
    <row r="232" spans="2:7" x14ac:dyDescent="0.25">
      <c r="B232" s="10">
        <v>222</v>
      </c>
      <c r="C232" s="16">
        <f t="shared" si="16"/>
        <v>0</v>
      </c>
      <c r="D232" s="16">
        <f t="shared" si="13"/>
        <v>0</v>
      </c>
      <c r="E232" s="16">
        <f t="shared" si="14"/>
        <v>0</v>
      </c>
      <c r="F232" s="16"/>
      <c r="G232" s="16">
        <f t="shared" si="15"/>
        <v>0</v>
      </c>
    </row>
    <row r="233" spans="2:7" x14ac:dyDescent="0.25">
      <c r="B233" s="10">
        <v>223</v>
      </c>
      <c r="C233" s="16">
        <f t="shared" si="16"/>
        <v>0</v>
      </c>
      <c r="D233" s="16">
        <f t="shared" si="13"/>
        <v>0</v>
      </c>
      <c r="E233" s="16">
        <f t="shared" si="14"/>
        <v>0</v>
      </c>
      <c r="F233" s="16"/>
      <c r="G233" s="16">
        <f t="shared" si="15"/>
        <v>0</v>
      </c>
    </row>
    <row r="234" spans="2:7" x14ac:dyDescent="0.25">
      <c r="B234" s="10">
        <v>224</v>
      </c>
      <c r="C234" s="16">
        <f t="shared" si="16"/>
        <v>0</v>
      </c>
      <c r="D234" s="16">
        <f t="shared" si="13"/>
        <v>0</v>
      </c>
      <c r="E234" s="16">
        <f t="shared" si="14"/>
        <v>0</v>
      </c>
      <c r="F234" s="16"/>
      <c r="G234" s="16">
        <f t="shared" si="15"/>
        <v>0</v>
      </c>
    </row>
    <row r="235" spans="2:7" x14ac:dyDescent="0.25">
      <c r="B235" s="10">
        <v>225</v>
      </c>
      <c r="C235" s="16">
        <f t="shared" si="16"/>
        <v>0</v>
      </c>
      <c r="D235" s="16">
        <f t="shared" si="13"/>
        <v>0</v>
      </c>
      <c r="E235" s="16">
        <f t="shared" si="14"/>
        <v>0</v>
      </c>
      <c r="F235" s="16"/>
      <c r="G235" s="16">
        <f t="shared" si="15"/>
        <v>0</v>
      </c>
    </row>
    <row r="236" spans="2:7" x14ac:dyDescent="0.25">
      <c r="B236" s="10">
        <v>226</v>
      </c>
      <c r="C236" s="16">
        <f t="shared" si="16"/>
        <v>0</v>
      </c>
      <c r="D236" s="16">
        <f t="shared" si="13"/>
        <v>0</v>
      </c>
      <c r="E236" s="16">
        <f t="shared" si="14"/>
        <v>0</v>
      </c>
      <c r="F236" s="16"/>
      <c r="G236" s="16">
        <f t="shared" si="15"/>
        <v>0</v>
      </c>
    </row>
    <row r="237" spans="2:7" x14ac:dyDescent="0.25">
      <c r="B237" s="10">
        <v>227</v>
      </c>
      <c r="C237" s="16">
        <f t="shared" si="16"/>
        <v>0</v>
      </c>
      <c r="D237" s="16">
        <f t="shared" si="13"/>
        <v>0</v>
      </c>
      <c r="E237" s="16">
        <f t="shared" si="14"/>
        <v>0</v>
      </c>
      <c r="F237" s="16"/>
      <c r="G237" s="16">
        <f t="shared" si="15"/>
        <v>0</v>
      </c>
    </row>
    <row r="238" spans="2:7" x14ac:dyDescent="0.25">
      <c r="B238" s="10">
        <v>228</v>
      </c>
      <c r="C238" s="16">
        <f t="shared" si="16"/>
        <v>0</v>
      </c>
      <c r="D238" s="16">
        <f t="shared" si="13"/>
        <v>0</v>
      </c>
      <c r="E238" s="16">
        <f t="shared" si="14"/>
        <v>0</v>
      </c>
      <c r="F238" s="16"/>
      <c r="G238" s="16">
        <f t="shared" si="15"/>
        <v>0</v>
      </c>
    </row>
    <row r="239" spans="2:7" x14ac:dyDescent="0.25">
      <c r="B239" s="10">
        <v>229</v>
      </c>
      <c r="C239" s="16">
        <f t="shared" si="16"/>
        <v>0</v>
      </c>
      <c r="D239" s="16">
        <f t="shared" si="13"/>
        <v>0</v>
      </c>
      <c r="E239" s="16">
        <f t="shared" si="14"/>
        <v>0</v>
      </c>
      <c r="F239" s="16"/>
      <c r="G239" s="16">
        <f t="shared" si="15"/>
        <v>0</v>
      </c>
    </row>
    <row r="240" spans="2:7" x14ac:dyDescent="0.25">
      <c r="B240" s="10">
        <v>230</v>
      </c>
      <c r="C240" s="16">
        <f t="shared" si="16"/>
        <v>0</v>
      </c>
      <c r="D240" s="16">
        <f t="shared" si="13"/>
        <v>0</v>
      </c>
      <c r="E240" s="16">
        <f t="shared" si="14"/>
        <v>0</v>
      </c>
      <c r="F240" s="16"/>
      <c r="G240" s="16">
        <f t="shared" si="15"/>
        <v>0</v>
      </c>
    </row>
    <row r="241" spans="2:7" x14ac:dyDescent="0.25">
      <c r="B241" s="10">
        <v>231</v>
      </c>
      <c r="C241" s="16">
        <f t="shared" si="16"/>
        <v>0</v>
      </c>
      <c r="D241" s="16">
        <f t="shared" si="13"/>
        <v>0</v>
      </c>
      <c r="E241" s="16">
        <f t="shared" si="14"/>
        <v>0</v>
      </c>
      <c r="F241" s="16"/>
      <c r="G241" s="16">
        <f t="shared" si="15"/>
        <v>0</v>
      </c>
    </row>
    <row r="242" spans="2:7" x14ac:dyDescent="0.25">
      <c r="B242" s="10">
        <v>232</v>
      </c>
      <c r="C242" s="16">
        <f t="shared" si="16"/>
        <v>0</v>
      </c>
      <c r="D242" s="16">
        <f t="shared" si="13"/>
        <v>0</v>
      </c>
      <c r="E242" s="16">
        <f t="shared" si="14"/>
        <v>0</v>
      </c>
      <c r="F242" s="16"/>
      <c r="G242" s="16">
        <f t="shared" si="15"/>
        <v>0</v>
      </c>
    </row>
    <row r="243" spans="2:7" x14ac:dyDescent="0.25">
      <c r="B243" s="10">
        <v>233</v>
      </c>
      <c r="C243" s="16">
        <f t="shared" si="16"/>
        <v>0</v>
      </c>
      <c r="D243" s="16">
        <f t="shared" si="13"/>
        <v>0</v>
      </c>
      <c r="E243" s="16">
        <f t="shared" si="14"/>
        <v>0</v>
      </c>
      <c r="F243" s="16"/>
      <c r="G243" s="16">
        <f t="shared" si="15"/>
        <v>0</v>
      </c>
    </row>
    <row r="244" spans="2:7" x14ac:dyDescent="0.25">
      <c r="B244" s="10">
        <v>234</v>
      </c>
      <c r="C244" s="16">
        <f t="shared" si="16"/>
        <v>0</v>
      </c>
      <c r="D244" s="16">
        <f t="shared" si="13"/>
        <v>0</v>
      </c>
      <c r="E244" s="16">
        <f t="shared" si="14"/>
        <v>0</v>
      </c>
      <c r="F244" s="16"/>
      <c r="G244" s="16">
        <f t="shared" si="15"/>
        <v>0</v>
      </c>
    </row>
    <row r="245" spans="2:7" x14ac:dyDescent="0.25">
      <c r="B245" s="10">
        <v>235</v>
      </c>
      <c r="C245" s="16">
        <f t="shared" si="16"/>
        <v>0</v>
      </c>
      <c r="D245" s="16">
        <f t="shared" si="13"/>
        <v>0</v>
      </c>
      <c r="E245" s="16">
        <f t="shared" si="14"/>
        <v>0</v>
      </c>
      <c r="F245" s="16"/>
      <c r="G245" s="16">
        <f t="shared" si="15"/>
        <v>0</v>
      </c>
    </row>
    <row r="246" spans="2:7" x14ac:dyDescent="0.25">
      <c r="B246" s="10">
        <v>236</v>
      </c>
      <c r="C246" s="16">
        <f t="shared" si="16"/>
        <v>0</v>
      </c>
      <c r="D246" s="16">
        <f t="shared" si="13"/>
        <v>0</v>
      </c>
      <c r="E246" s="16">
        <f t="shared" si="14"/>
        <v>0</v>
      </c>
      <c r="F246" s="16"/>
      <c r="G246" s="16">
        <f t="shared" si="15"/>
        <v>0</v>
      </c>
    </row>
    <row r="247" spans="2:7" x14ac:dyDescent="0.25">
      <c r="B247" s="10">
        <v>237</v>
      </c>
      <c r="C247" s="16">
        <f t="shared" si="16"/>
        <v>0</v>
      </c>
      <c r="D247" s="16">
        <f t="shared" si="13"/>
        <v>0</v>
      </c>
      <c r="E247" s="16">
        <f t="shared" si="14"/>
        <v>0</v>
      </c>
      <c r="F247" s="16"/>
      <c r="G247" s="16">
        <f t="shared" si="15"/>
        <v>0</v>
      </c>
    </row>
    <row r="248" spans="2:7" x14ac:dyDescent="0.25">
      <c r="B248" s="10">
        <v>238</v>
      </c>
      <c r="C248" s="16">
        <f t="shared" si="16"/>
        <v>0</v>
      </c>
      <c r="D248" s="16">
        <f t="shared" si="13"/>
        <v>0</v>
      </c>
      <c r="E248" s="16">
        <f t="shared" si="14"/>
        <v>0</v>
      </c>
      <c r="F248" s="16"/>
      <c r="G248" s="16">
        <f t="shared" si="15"/>
        <v>0</v>
      </c>
    </row>
    <row r="249" spans="2:7" x14ac:dyDescent="0.25">
      <c r="B249" s="10">
        <v>239</v>
      </c>
      <c r="C249" s="16">
        <f t="shared" si="16"/>
        <v>0</v>
      </c>
      <c r="D249" s="16">
        <f t="shared" si="13"/>
        <v>0</v>
      </c>
      <c r="E249" s="16">
        <f t="shared" si="14"/>
        <v>0</v>
      </c>
      <c r="F249" s="16"/>
      <c r="G249" s="16">
        <f t="shared" si="15"/>
        <v>0</v>
      </c>
    </row>
    <row r="250" spans="2:7" x14ac:dyDescent="0.25">
      <c r="B250" s="10">
        <v>240</v>
      </c>
      <c r="C250" s="16">
        <f t="shared" si="16"/>
        <v>0</v>
      </c>
      <c r="D250" s="16">
        <f t="shared" si="13"/>
        <v>0</v>
      </c>
      <c r="E250" s="16">
        <f t="shared" si="14"/>
        <v>0</v>
      </c>
      <c r="F250" s="16"/>
      <c r="G250" s="16">
        <f t="shared" si="15"/>
        <v>0</v>
      </c>
    </row>
    <row r="251" spans="2:7" x14ac:dyDescent="0.25">
      <c r="B251" s="10">
        <v>241</v>
      </c>
      <c r="C251" s="16">
        <f t="shared" si="16"/>
        <v>0</v>
      </c>
      <c r="D251" s="16">
        <f t="shared" si="13"/>
        <v>0</v>
      </c>
      <c r="E251" s="16">
        <f t="shared" si="14"/>
        <v>0</v>
      </c>
      <c r="F251" s="16"/>
      <c r="G251" s="16">
        <f t="shared" si="15"/>
        <v>0</v>
      </c>
    </row>
    <row r="252" spans="2:7" x14ac:dyDescent="0.25">
      <c r="B252" s="10">
        <v>242</v>
      </c>
      <c r="C252" s="16">
        <f t="shared" si="16"/>
        <v>0</v>
      </c>
      <c r="D252" s="16">
        <f t="shared" si="13"/>
        <v>0</v>
      </c>
      <c r="E252" s="16">
        <f t="shared" si="14"/>
        <v>0</v>
      </c>
      <c r="F252" s="16"/>
      <c r="G252" s="16">
        <f t="shared" si="15"/>
        <v>0</v>
      </c>
    </row>
    <row r="253" spans="2:7" x14ac:dyDescent="0.25">
      <c r="B253" s="10">
        <v>243</v>
      </c>
      <c r="C253" s="16">
        <f t="shared" si="16"/>
        <v>0</v>
      </c>
      <c r="D253" s="16">
        <f t="shared" si="13"/>
        <v>0</v>
      </c>
      <c r="E253" s="16">
        <f t="shared" si="14"/>
        <v>0</v>
      </c>
      <c r="F253" s="16"/>
      <c r="G253" s="16">
        <f t="shared" si="15"/>
        <v>0</v>
      </c>
    </row>
    <row r="254" spans="2:7" x14ac:dyDescent="0.25">
      <c r="B254" s="10">
        <v>244</v>
      </c>
      <c r="C254" s="16">
        <f t="shared" si="16"/>
        <v>0</v>
      </c>
      <c r="D254" s="16">
        <f t="shared" si="13"/>
        <v>0</v>
      </c>
      <c r="E254" s="16">
        <f t="shared" si="14"/>
        <v>0</v>
      </c>
      <c r="F254" s="16"/>
      <c r="G254" s="16">
        <f t="shared" si="15"/>
        <v>0</v>
      </c>
    </row>
    <row r="255" spans="2:7" x14ac:dyDescent="0.25">
      <c r="B255" s="10">
        <v>245</v>
      </c>
      <c r="C255" s="16">
        <f t="shared" si="16"/>
        <v>0</v>
      </c>
      <c r="D255" s="16">
        <f t="shared" si="13"/>
        <v>0</v>
      </c>
      <c r="E255" s="16">
        <f t="shared" si="14"/>
        <v>0</v>
      </c>
      <c r="F255" s="16"/>
      <c r="G255" s="16">
        <f t="shared" si="15"/>
        <v>0</v>
      </c>
    </row>
    <row r="256" spans="2:7" x14ac:dyDescent="0.25">
      <c r="B256" s="10">
        <v>246</v>
      </c>
      <c r="C256" s="16">
        <f t="shared" si="16"/>
        <v>0</v>
      </c>
      <c r="D256" s="16">
        <f t="shared" si="13"/>
        <v>0</v>
      </c>
      <c r="E256" s="16">
        <f t="shared" si="14"/>
        <v>0</v>
      </c>
      <c r="F256" s="16"/>
      <c r="G256" s="16">
        <f t="shared" si="15"/>
        <v>0</v>
      </c>
    </row>
    <row r="257" spans="2:7" x14ac:dyDescent="0.25">
      <c r="B257" s="10">
        <v>247</v>
      </c>
      <c r="C257" s="16">
        <f t="shared" si="16"/>
        <v>0</v>
      </c>
      <c r="D257" s="16">
        <f t="shared" si="13"/>
        <v>0</v>
      </c>
      <c r="E257" s="16">
        <f t="shared" si="14"/>
        <v>0</v>
      </c>
      <c r="F257" s="16"/>
      <c r="G257" s="16">
        <f t="shared" si="15"/>
        <v>0</v>
      </c>
    </row>
    <row r="258" spans="2:7" x14ac:dyDescent="0.25">
      <c r="B258" s="10">
        <v>248</v>
      </c>
      <c r="C258" s="16">
        <f t="shared" si="16"/>
        <v>0</v>
      </c>
      <c r="D258" s="16">
        <f t="shared" si="13"/>
        <v>0</v>
      </c>
      <c r="E258" s="16">
        <f t="shared" si="14"/>
        <v>0</v>
      </c>
      <c r="F258" s="16"/>
      <c r="G258" s="16">
        <f t="shared" si="15"/>
        <v>0</v>
      </c>
    </row>
    <row r="259" spans="2:7" x14ac:dyDescent="0.25">
      <c r="B259" s="10">
        <v>249</v>
      </c>
      <c r="C259" s="16">
        <f t="shared" si="16"/>
        <v>0</v>
      </c>
      <c r="D259" s="16">
        <f t="shared" si="13"/>
        <v>0</v>
      </c>
      <c r="E259" s="16">
        <f t="shared" si="14"/>
        <v>0</v>
      </c>
      <c r="F259" s="16"/>
      <c r="G259" s="16">
        <f t="shared" si="15"/>
        <v>0</v>
      </c>
    </row>
    <row r="260" spans="2:7" x14ac:dyDescent="0.25">
      <c r="B260" s="10">
        <v>250</v>
      </c>
      <c r="C260" s="16">
        <f t="shared" si="16"/>
        <v>0</v>
      </c>
      <c r="D260" s="16">
        <f t="shared" si="13"/>
        <v>0</v>
      </c>
      <c r="E260" s="16">
        <f t="shared" si="14"/>
        <v>0</v>
      </c>
      <c r="F260" s="16"/>
      <c r="G260" s="16">
        <f t="shared" si="15"/>
        <v>0</v>
      </c>
    </row>
    <row r="261" spans="2:7" x14ac:dyDescent="0.25">
      <c r="B261" s="10">
        <v>251</v>
      </c>
      <c r="C261" s="16">
        <f t="shared" si="16"/>
        <v>0</v>
      </c>
      <c r="D261" s="16">
        <f t="shared" si="13"/>
        <v>0</v>
      </c>
      <c r="E261" s="16">
        <f t="shared" si="14"/>
        <v>0</v>
      </c>
      <c r="F261" s="16"/>
      <c r="G261" s="16">
        <f t="shared" si="15"/>
        <v>0</v>
      </c>
    </row>
    <row r="262" spans="2:7" x14ac:dyDescent="0.25">
      <c r="B262" s="10">
        <v>252</v>
      </c>
      <c r="C262" s="16">
        <f t="shared" si="16"/>
        <v>0</v>
      </c>
      <c r="D262" s="16">
        <f t="shared" si="13"/>
        <v>0</v>
      </c>
      <c r="E262" s="16">
        <f t="shared" si="14"/>
        <v>0</v>
      </c>
      <c r="F262" s="16"/>
      <c r="G262" s="16">
        <f t="shared" si="15"/>
        <v>0</v>
      </c>
    </row>
    <row r="263" spans="2:7" x14ac:dyDescent="0.25">
      <c r="B263" s="10">
        <v>253</v>
      </c>
      <c r="C263" s="16">
        <f t="shared" si="16"/>
        <v>0</v>
      </c>
      <c r="D263" s="16">
        <f t="shared" si="13"/>
        <v>0</v>
      </c>
      <c r="E263" s="16">
        <f t="shared" si="14"/>
        <v>0</v>
      </c>
      <c r="F263" s="16"/>
      <c r="G263" s="16">
        <f t="shared" si="15"/>
        <v>0</v>
      </c>
    </row>
    <row r="264" spans="2:7" x14ac:dyDescent="0.25">
      <c r="B264" s="10">
        <v>254</v>
      </c>
      <c r="C264" s="16">
        <f t="shared" si="16"/>
        <v>0</v>
      </c>
      <c r="D264" s="16">
        <f t="shared" si="13"/>
        <v>0</v>
      </c>
      <c r="E264" s="16">
        <f t="shared" si="14"/>
        <v>0</v>
      </c>
      <c r="F264" s="16"/>
      <c r="G264" s="16">
        <f t="shared" si="15"/>
        <v>0</v>
      </c>
    </row>
    <row r="265" spans="2:7" x14ac:dyDescent="0.25">
      <c r="B265" s="10">
        <v>255</v>
      </c>
      <c r="C265" s="16">
        <f t="shared" si="16"/>
        <v>0</v>
      </c>
      <c r="D265" s="16">
        <f t="shared" si="13"/>
        <v>0</v>
      </c>
      <c r="E265" s="16">
        <f t="shared" si="14"/>
        <v>0</v>
      </c>
      <c r="F265" s="16"/>
      <c r="G265" s="16">
        <f t="shared" si="15"/>
        <v>0</v>
      </c>
    </row>
    <row r="266" spans="2:7" x14ac:dyDescent="0.25">
      <c r="B266" s="10">
        <v>256</v>
      </c>
      <c r="C266" s="16">
        <f t="shared" si="16"/>
        <v>0</v>
      </c>
      <c r="D266" s="16">
        <f t="shared" si="13"/>
        <v>0</v>
      </c>
      <c r="E266" s="16">
        <f t="shared" si="14"/>
        <v>0</v>
      </c>
      <c r="F266" s="16"/>
      <c r="G266" s="16">
        <f t="shared" si="15"/>
        <v>0</v>
      </c>
    </row>
    <row r="267" spans="2:7" x14ac:dyDescent="0.25">
      <c r="B267" s="10">
        <v>257</v>
      </c>
      <c r="C267" s="16">
        <f t="shared" si="16"/>
        <v>0</v>
      </c>
      <c r="D267" s="16">
        <f t="shared" si="13"/>
        <v>0</v>
      </c>
      <c r="E267" s="16">
        <f t="shared" si="14"/>
        <v>0</v>
      </c>
      <c r="F267" s="16"/>
      <c r="G267" s="16">
        <f t="shared" si="15"/>
        <v>0</v>
      </c>
    </row>
    <row r="268" spans="2:7" x14ac:dyDescent="0.25">
      <c r="B268" s="10">
        <v>258</v>
      </c>
      <c r="C268" s="16">
        <f t="shared" si="16"/>
        <v>0</v>
      </c>
      <c r="D268" s="16">
        <f t="shared" ref="D268:D331" si="17">G267*$C$4</f>
        <v>0</v>
      </c>
      <c r="E268" s="16">
        <f t="shared" ref="E268:E331" si="18">C268-D268</f>
        <v>0</v>
      </c>
      <c r="F268" s="16"/>
      <c r="G268" s="16">
        <f t="shared" ref="G268:G331" si="19">G267-F268-E268</f>
        <v>0</v>
      </c>
    </row>
    <row r="269" spans="2:7" x14ac:dyDescent="0.25">
      <c r="B269" s="10">
        <v>259</v>
      </c>
      <c r="C269" s="16">
        <f t="shared" si="16"/>
        <v>0</v>
      </c>
      <c r="D269" s="16">
        <f t="shared" si="17"/>
        <v>0</v>
      </c>
      <c r="E269" s="16">
        <f t="shared" si="18"/>
        <v>0</v>
      </c>
      <c r="F269" s="16"/>
      <c r="G269" s="16">
        <f t="shared" si="19"/>
        <v>0</v>
      </c>
    </row>
    <row r="270" spans="2:7" x14ac:dyDescent="0.25">
      <c r="B270" s="10">
        <v>260</v>
      </c>
      <c r="C270" s="16">
        <f t="shared" si="16"/>
        <v>0</v>
      </c>
      <c r="D270" s="16">
        <f t="shared" si="17"/>
        <v>0</v>
      </c>
      <c r="E270" s="16">
        <f t="shared" si="18"/>
        <v>0</v>
      </c>
      <c r="F270" s="16"/>
      <c r="G270" s="16">
        <f t="shared" si="19"/>
        <v>0</v>
      </c>
    </row>
    <row r="271" spans="2:7" x14ac:dyDescent="0.25">
      <c r="B271" s="10">
        <v>261</v>
      </c>
      <c r="C271" s="16">
        <f t="shared" si="16"/>
        <v>0</v>
      </c>
      <c r="D271" s="16">
        <f t="shared" si="17"/>
        <v>0</v>
      </c>
      <c r="E271" s="16">
        <f t="shared" si="18"/>
        <v>0</v>
      </c>
      <c r="F271" s="16"/>
      <c r="G271" s="16">
        <f t="shared" si="19"/>
        <v>0</v>
      </c>
    </row>
    <row r="272" spans="2:7" x14ac:dyDescent="0.25">
      <c r="B272" s="10">
        <v>262</v>
      </c>
      <c r="C272" s="16">
        <f t="shared" si="16"/>
        <v>0</v>
      </c>
      <c r="D272" s="16">
        <f t="shared" si="17"/>
        <v>0</v>
      </c>
      <c r="E272" s="16">
        <f t="shared" si="18"/>
        <v>0</v>
      </c>
      <c r="F272" s="16"/>
      <c r="G272" s="16">
        <f t="shared" si="19"/>
        <v>0</v>
      </c>
    </row>
    <row r="273" spans="2:7" x14ac:dyDescent="0.25">
      <c r="B273" s="10">
        <v>263</v>
      </c>
      <c r="C273" s="16">
        <f t="shared" si="16"/>
        <v>0</v>
      </c>
      <c r="D273" s="16">
        <f t="shared" si="17"/>
        <v>0</v>
      </c>
      <c r="E273" s="16">
        <f t="shared" si="18"/>
        <v>0</v>
      </c>
      <c r="F273" s="16"/>
      <c r="G273" s="16">
        <f t="shared" si="19"/>
        <v>0</v>
      </c>
    </row>
    <row r="274" spans="2:7" x14ac:dyDescent="0.25">
      <c r="B274" s="10">
        <v>264</v>
      </c>
      <c r="C274" s="16">
        <f t="shared" si="16"/>
        <v>0</v>
      </c>
      <c r="D274" s="16">
        <f t="shared" si="17"/>
        <v>0</v>
      </c>
      <c r="E274" s="16">
        <f t="shared" si="18"/>
        <v>0</v>
      </c>
      <c r="F274" s="16"/>
      <c r="G274" s="16">
        <f t="shared" si="19"/>
        <v>0</v>
      </c>
    </row>
    <row r="275" spans="2:7" x14ac:dyDescent="0.25">
      <c r="B275" s="10">
        <v>265</v>
      </c>
      <c r="C275" s="16">
        <f t="shared" si="16"/>
        <v>0</v>
      </c>
      <c r="D275" s="16">
        <f t="shared" si="17"/>
        <v>0</v>
      </c>
      <c r="E275" s="16">
        <f t="shared" si="18"/>
        <v>0</v>
      </c>
      <c r="F275" s="16"/>
      <c r="G275" s="16">
        <f t="shared" si="19"/>
        <v>0</v>
      </c>
    </row>
    <row r="276" spans="2:7" x14ac:dyDescent="0.25">
      <c r="B276" s="10">
        <v>266</v>
      </c>
      <c r="C276" s="16">
        <f t="shared" si="16"/>
        <v>0</v>
      </c>
      <c r="D276" s="16">
        <f t="shared" si="17"/>
        <v>0</v>
      </c>
      <c r="E276" s="16">
        <f t="shared" si="18"/>
        <v>0</v>
      </c>
      <c r="F276" s="16"/>
      <c r="G276" s="16">
        <f t="shared" si="19"/>
        <v>0</v>
      </c>
    </row>
    <row r="277" spans="2:7" x14ac:dyDescent="0.25">
      <c r="B277" s="10">
        <v>267</v>
      </c>
      <c r="C277" s="16">
        <f t="shared" si="16"/>
        <v>0</v>
      </c>
      <c r="D277" s="16">
        <f t="shared" si="17"/>
        <v>0</v>
      </c>
      <c r="E277" s="16">
        <f t="shared" si="18"/>
        <v>0</v>
      </c>
      <c r="F277" s="16"/>
      <c r="G277" s="16">
        <f t="shared" si="19"/>
        <v>0</v>
      </c>
    </row>
    <row r="278" spans="2:7" x14ac:dyDescent="0.25">
      <c r="B278" s="10">
        <v>268</v>
      </c>
      <c r="C278" s="16">
        <f t="shared" si="16"/>
        <v>0</v>
      </c>
      <c r="D278" s="16">
        <f t="shared" si="17"/>
        <v>0</v>
      </c>
      <c r="E278" s="16">
        <f t="shared" si="18"/>
        <v>0</v>
      </c>
      <c r="F278" s="16"/>
      <c r="G278" s="16">
        <f t="shared" si="19"/>
        <v>0</v>
      </c>
    </row>
    <row r="279" spans="2:7" x14ac:dyDescent="0.25">
      <c r="B279" s="10">
        <v>269</v>
      </c>
      <c r="C279" s="16">
        <f t="shared" si="16"/>
        <v>0</v>
      </c>
      <c r="D279" s="16">
        <f t="shared" si="17"/>
        <v>0</v>
      </c>
      <c r="E279" s="16">
        <f t="shared" si="18"/>
        <v>0</v>
      </c>
      <c r="F279" s="16"/>
      <c r="G279" s="16">
        <f t="shared" si="19"/>
        <v>0</v>
      </c>
    </row>
    <row r="280" spans="2:7" x14ac:dyDescent="0.25">
      <c r="B280" s="10">
        <v>270</v>
      </c>
      <c r="C280" s="16">
        <f t="shared" si="16"/>
        <v>0</v>
      </c>
      <c r="D280" s="16">
        <f t="shared" si="17"/>
        <v>0</v>
      </c>
      <c r="E280" s="16">
        <f t="shared" si="18"/>
        <v>0</v>
      </c>
      <c r="F280" s="16"/>
      <c r="G280" s="16">
        <f t="shared" si="19"/>
        <v>0</v>
      </c>
    </row>
    <row r="281" spans="2:7" x14ac:dyDescent="0.25">
      <c r="B281" s="10">
        <v>271</v>
      </c>
      <c r="C281" s="16">
        <f t="shared" si="16"/>
        <v>0</v>
      </c>
      <c r="D281" s="16">
        <f t="shared" si="17"/>
        <v>0</v>
      </c>
      <c r="E281" s="16">
        <f t="shared" si="18"/>
        <v>0</v>
      </c>
      <c r="F281" s="16"/>
      <c r="G281" s="16">
        <f t="shared" si="19"/>
        <v>0</v>
      </c>
    </row>
    <row r="282" spans="2:7" x14ac:dyDescent="0.25">
      <c r="B282" s="10">
        <v>272</v>
      </c>
      <c r="C282" s="16">
        <f t="shared" ref="C282:C345" si="20">IF(G281&lt;$C$7,G281*(1+$C$4),$C$7)</f>
        <v>0</v>
      </c>
      <c r="D282" s="16">
        <f t="shared" si="17"/>
        <v>0</v>
      </c>
      <c r="E282" s="16">
        <f t="shared" si="18"/>
        <v>0</v>
      </c>
      <c r="F282" s="16"/>
      <c r="G282" s="16">
        <f t="shared" si="19"/>
        <v>0</v>
      </c>
    </row>
    <row r="283" spans="2:7" x14ac:dyDescent="0.25">
      <c r="B283" s="10">
        <v>273</v>
      </c>
      <c r="C283" s="16">
        <f t="shared" si="20"/>
        <v>0</v>
      </c>
      <c r="D283" s="16">
        <f t="shared" si="17"/>
        <v>0</v>
      </c>
      <c r="E283" s="16">
        <f t="shared" si="18"/>
        <v>0</v>
      </c>
      <c r="F283" s="16"/>
      <c r="G283" s="16">
        <f t="shared" si="19"/>
        <v>0</v>
      </c>
    </row>
    <row r="284" spans="2:7" x14ac:dyDescent="0.25">
      <c r="B284" s="10">
        <v>274</v>
      </c>
      <c r="C284" s="16">
        <f t="shared" si="20"/>
        <v>0</v>
      </c>
      <c r="D284" s="16">
        <f t="shared" si="17"/>
        <v>0</v>
      </c>
      <c r="E284" s="16">
        <f t="shared" si="18"/>
        <v>0</v>
      </c>
      <c r="F284" s="16"/>
      <c r="G284" s="16">
        <f t="shared" si="19"/>
        <v>0</v>
      </c>
    </row>
    <row r="285" spans="2:7" x14ac:dyDescent="0.25">
      <c r="B285" s="10">
        <v>275</v>
      </c>
      <c r="C285" s="16">
        <f t="shared" si="20"/>
        <v>0</v>
      </c>
      <c r="D285" s="16">
        <f t="shared" si="17"/>
        <v>0</v>
      </c>
      <c r="E285" s="16">
        <f t="shared" si="18"/>
        <v>0</v>
      </c>
      <c r="F285" s="16"/>
      <c r="G285" s="16">
        <f t="shared" si="19"/>
        <v>0</v>
      </c>
    </row>
    <row r="286" spans="2:7" x14ac:dyDescent="0.25">
      <c r="B286" s="10">
        <v>276</v>
      </c>
      <c r="C286" s="16">
        <f t="shared" si="20"/>
        <v>0</v>
      </c>
      <c r="D286" s="16">
        <f t="shared" si="17"/>
        <v>0</v>
      </c>
      <c r="E286" s="16">
        <f t="shared" si="18"/>
        <v>0</v>
      </c>
      <c r="F286" s="16"/>
      <c r="G286" s="16">
        <f t="shared" si="19"/>
        <v>0</v>
      </c>
    </row>
    <row r="287" spans="2:7" x14ac:dyDescent="0.25">
      <c r="B287" s="10">
        <v>277</v>
      </c>
      <c r="C287" s="16">
        <f t="shared" si="20"/>
        <v>0</v>
      </c>
      <c r="D287" s="16">
        <f t="shared" si="17"/>
        <v>0</v>
      </c>
      <c r="E287" s="16">
        <f t="shared" si="18"/>
        <v>0</v>
      </c>
      <c r="F287" s="16"/>
      <c r="G287" s="16">
        <f t="shared" si="19"/>
        <v>0</v>
      </c>
    </row>
    <row r="288" spans="2:7" x14ac:dyDescent="0.25">
      <c r="B288" s="10">
        <v>278</v>
      </c>
      <c r="C288" s="16">
        <f t="shared" si="20"/>
        <v>0</v>
      </c>
      <c r="D288" s="16">
        <f t="shared" si="17"/>
        <v>0</v>
      </c>
      <c r="E288" s="16">
        <f t="shared" si="18"/>
        <v>0</v>
      </c>
      <c r="F288" s="16"/>
      <c r="G288" s="16">
        <f t="shared" si="19"/>
        <v>0</v>
      </c>
    </row>
    <row r="289" spans="2:7" x14ac:dyDescent="0.25">
      <c r="B289" s="10">
        <v>279</v>
      </c>
      <c r="C289" s="16">
        <f t="shared" si="20"/>
        <v>0</v>
      </c>
      <c r="D289" s="16">
        <f t="shared" si="17"/>
        <v>0</v>
      </c>
      <c r="E289" s="16">
        <f t="shared" si="18"/>
        <v>0</v>
      </c>
      <c r="F289" s="16"/>
      <c r="G289" s="16">
        <f t="shared" si="19"/>
        <v>0</v>
      </c>
    </row>
    <row r="290" spans="2:7" x14ac:dyDescent="0.25">
      <c r="B290" s="10">
        <v>280</v>
      </c>
      <c r="C290" s="16">
        <f t="shared" si="20"/>
        <v>0</v>
      </c>
      <c r="D290" s="16">
        <f t="shared" si="17"/>
        <v>0</v>
      </c>
      <c r="E290" s="16">
        <f t="shared" si="18"/>
        <v>0</v>
      </c>
      <c r="F290" s="16"/>
      <c r="G290" s="16">
        <f t="shared" si="19"/>
        <v>0</v>
      </c>
    </row>
    <row r="291" spans="2:7" x14ac:dyDescent="0.25">
      <c r="B291" s="10">
        <v>281</v>
      </c>
      <c r="C291" s="16">
        <f t="shared" si="20"/>
        <v>0</v>
      </c>
      <c r="D291" s="16">
        <f t="shared" si="17"/>
        <v>0</v>
      </c>
      <c r="E291" s="16">
        <f t="shared" si="18"/>
        <v>0</v>
      </c>
      <c r="F291" s="16"/>
      <c r="G291" s="16">
        <f t="shared" si="19"/>
        <v>0</v>
      </c>
    </row>
    <row r="292" spans="2:7" x14ac:dyDescent="0.25">
      <c r="B292" s="10">
        <v>282</v>
      </c>
      <c r="C292" s="16">
        <f t="shared" si="20"/>
        <v>0</v>
      </c>
      <c r="D292" s="16">
        <f t="shared" si="17"/>
        <v>0</v>
      </c>
      <c r="E292" s="16">
        <f t="shared" si="18"/>
        <v>0</v>
      </c>
      <c r="F292" s="16"/>
      <c r="G292" s="16">
        <f t="shared" si="19"/>
        <v>0</v>
      </c>
    </row>
    <row r="293" spans="2:7" x14ac:dyDescent="0.25">
      <c r="B293" s="10">
        <v>283</v>
      </c>
      <c r="C293" s="16">
        <f t="shared" si="20"/>
        <v>0</v>
      </c>
      <c r="D293" s="16">
        <f t="shared" si="17"/>
        <v>0</v>
      </c>
      <c r="E293" s="16">
        <f t="shared" si="18"/>
        <v>0</v>
      </c>
      <c r="F293" s="16"/>
      <c r="G293" s="16">
        <f t="shared" si="19"/>
        <v>0</v>
      </c>
    </row>
    <row r="294" spans="2:7" x14ac:dyDescent="0.25">
      <c r="B294" s="10">
        <v>284</v>
      </c>
      <c r="C294" s="16">
        <f t="shared" si="20"/>
        <v>0</v>
      </c>
      <c r="D294" s="16">
        <f t="shared" si="17"/>
        <v>0</v>
      </c>
      <c r="E294" s="16">
        <f t="shared" si="18"/>
        <v>0</v>
      </c>
      <c r="F294" s="16"/>
      <c r="G294" s="16">
        <f t="shared" si="19"/>
        <v>0</v>
      </c>
    </row>
    <row r="295" spans="2:7" x14ac:dyDescent="0.25">
      <c r="B295" s="10">
        <v>285</v>
      </c>
      <c r="C295" s="16">
        <f t="shared" si="20"/>
        <v>0</v>
      </c>
      <c r="D295" s="16">
        <f t="shared" si="17"/>
        <v>0</v>
      </c>
      <c r="E295" s="16">
        <f t="shared" si="18"/>
        <v>0</v>
      </c>
      <c r="F295" s="16"/>
      <c r="G295" s="16">
        <f t="shared" si="19"/>
        <v>0</v>
      </c>
    </row>
    <row r="296" spans="2:7" x14ac:dyDescent="0.25">
      <c r="B296" s="10">
        <v>286</v>
      </c>
      <c r="C296" s="16">
        <f t="shared" si="20"/>
        <v>0</v>
      </c>
      <c r="D296" s="16">
        <f t="shared" si="17"/>
        <v>0</v>
      </c>
      <c r="E296" s="16">
        <f t="shared" si="18"/>
        <v>0</v>
      </c>
      <c r="F296" s="16"/>
      <c r="G296" s="16">
        <f t="shared" si="19"/>
        <v>0</v>
      </c>
    </row>
    <row r="297" spans="2:7" x14ac:dyDescent="0.25">
      <c r="B297" s="10">
        <v>287</v>
      </c>
      <c r="C297" s="16">
        <f t="shared" si="20"/>
        <v>0</v>
      </c>
      <c r="D297" s="16">
        <f t="shared" si="17"/>
        <v>0</v>
      </c>
      <c r="E297" s="16">
        <f t="shared" si="18"/>
        <v>0</v>
      </c>
      <c r="F297" s="16"/>
      <c r="G297" s="16">
        <f t="shared" si="19"/>
        <v>0</v>
      </c>
    </row>
    <row r="298" spans="2:7" x14ac:dyDescent="0.25">
      <c r="B298" s="10">
        <v>288</v>
      </c>
      <c r="C298" s="16">
        <f t="shared" si="20"/>
        <v>0</v>
      </c>
      <c r="D298" s="16">
        <f t="shared" si="17"/>
        <v>0</v>
      </c>
      <c r="E298" s="16">
        <f t="shared" si="18"/>
        <v>0</v>
      </c>
      <c r="F298" s="16"/>
      <c r="G298" s="16">
        <f t="shared" si="19"/>
        <v>0</v>
      </c>
    </row>
    <row r="299" spans="2:7" x14ac:dyDescent="0.25">
      <c r="B299" s="10">
        <v>289</v>
      </c>
      <c r="C299" s="16">
        <f t="shared" si="20"/>
        <v>0</v>
      </c>
      <c r="D299" s="16">
        <f t="shared" si="17"/>
        <v>0</v>
      </c>
      <c r="E299" s="16">
        <f t="shared" si="18"/>
        <v>0</v>
      </c>
      <c r="F299" s="16"/>
      <c r="G299" s="16">
        <f t="shared" si="19"/>
        <v>0</v>
      </c>
    </row>
    <row r="300" spans="2:7" x14ac:dyDescent="0.25">
      <c r="B300" s="10">
        <v>290</v>
      </c>
      <c r="C300" s="16">
        <f t="shared" si="20"/>
        <v>0</v>
      </c>
      <c r="D300" s="16">
        <f t="shared" si="17"/>
        <v>0</v>
      </c>
      <c r="E300" s="16">
        <f t="shared" si="18"/>
        <v>0</v>
      </c>
      <c r="F300" s="16"/>
      <c r="G300" s="16">
        <f t="shared" si="19"/>
        <v>0</v>
      </c>
    </row>
    <row r="301" spans="2:7" x14ac:dyDescent="0.25">
      <c r="B301" s="10">
        <v>291</v>
      </c>
      <c r="C301" s="16">
        <f t="shared" si="20"/>
        <v>0</v>
      </c>
      <c r="D301" s="16">
        <f t="shared" si="17"/>
        <v>0</v>
      </c>
      <c r="E301" s="16">
        <f t="shared" si="18"/>
        <v>0</v>
      </c>
      <c r="F301" s="16"/>
      <c r="G301" s="16">
        <f t="shared" si="19"/>
        <v>0</v>
      </c>
    </row>
    <row r="302" spans="2:7" x14ac:dyDescent="0.25">
      <c r="B302" s="10">
        <v>292</v>
      </c>
      <c r="C302" s="16">
        <f t="shared" si="20"/>
        <v>0</v>
      </c>
      <c r="D302" s="16">
        <f t="shared" si="17"/>
        <v>0</v>
      </c>
      <c r="E302" s="16">
        <f t="shared" si="18"/>
        <v>0</v>
      </c>
      <c r="F302" s="16"/>
      <c r="G302" s="16">
        <f t="shared" si="19"/>
        <v>0</v>
      </c>
    </row>
    <row r="303" spans="2:7" x14ac:dyDescent="0.25">
      <c r="B303" s="10">
        <v>293</v>
      </c>
      <c r="C303" s="16">
        <f t="shared" si="20"/>
        <v>0</v>
      </c>
      <c r="D303" s="16">
        <f t="shared" si="17"/>
        <v>0</v>
      </c>
      <c r="E303" s="16">
        <f t="shared" si="18"/>
        <v>0</v>
      </c>
      <c r="F303" s="16"/>
      <c r="G303" s="16">
        <f t="shared" si="19"/>
        <v>0</v>
      </c>
    </row>
    <row r="304" spans="2:7" x14ac:dyDescent="0.25">
      <c r="B304" s="10">
        <v>294</v>
      </c>
      <c r="C304" s="16">
        <f t="shared" si="20"/>
        <v>0</v>
      </c>
      <c r="D304" s="16">
        <f t="shared" si="17"/>
        <v>0</v>
      </c>
      <c r="E304" s="16">
        <f t="shared" si="18"/>
        <v>0</v>
      </c>
      <c r="F304" s="16"/>
      <c r="G304" s="16">
        <f t="shared" si="19"/>
        <v>0</v>
      </c>
    </row>
    <row r="305" spans="2:7" x14ac:dyDescent="0.25">
      <c r="B305" s="10">
        <v>295</v>
      </c>
      <c r="C305" s="16">
        <f t="shared" si="20"/>
        <v>0</v>
      </c>
      <c r="D305" s="16">
        <f t="shared" si="17"/>
        <v>0</v>
      </c>
      <c r="E305" s="16">
        <f t="shared" si="18"/>
        <v>0</v>
      </c>
      <c r="F305" s="16"/>
      <c r="G305" s="16">
        <f t="shared" si="19"/>
        <v>0</v>
      </c>
    </row>
    <row r="306" spans="2:7" x14ac:dyDescent="0.25">
      <c r="B306" s="10">
        <v>296</v>
      </c>
      <c r="C306" s="16">
        <f t="shared" si="20"/>
        <v>0</v>
      </c>
      <c r="D306" s="16">
        <f t="shared" si="17"/>
        <v>0</v>
      </c>
      <c r="E306" s="16">
        <f t="shared" si="18"/>
        <v>0</v>
      </c>
      <c r="F306" s="16"/>
      <c r="G306" s="16">
        <f t="shared" si="19"/>
        <v>0</v>
      </c>
    </row>
    <row r="307" spans="2:7" x14ac:dyDescent="0.25">
      <c r="B307" s="10">
        <v>297</v>
      </c>
      <c r="C307" s="16">
        <f t="shared" si="20"/>
        <v>0</v>
      </c>
      <c r="D307" s="16">
        <f t="shared" si="17"/>
        <v>0</v>
      </c>
      <c r="E307" s="16">
        <f t="shared" si="18"/>
        <v>0</v>
      </c>
      <c r="F307" s="16"/>
      <c r="G307" s="16">
        <f t="shared" si="19"/>
        <v>0</v>
      </c>
    </row>
    <row r="308" spans="2:7" x14ac:dyDescent="0.25">
      <c r="B308" s="10">
        <v>298</v>
      </c>
      <c r="C308" s="16">
        <f t="shared" si="20"/>
        <v>0</v>
      </c>
      <c r="D308" s="16">
        <f t="shared" si="17"/>
        <v>0</v>
      </c>
      <c r="E308" s="16">
        <f t="shared" si="18"/>
        <v>0</v>
      </c>
      <c r="F308" s="16"/>
      <c r="G308" s="16">
        <f t="shared" si="19"/>
        <v>0</v>
      </c>
    </row>
    <row r="309" spans="2:7" x14ac:dyDescent="0.25">
      <c r="B309" s="10">
        <v>299</v>
      </c>
      <c r="C309" s="16">
        <f t="shared" si="20"/>
        <v>0</v>
      </c>
      <c r="D309" s="16">
        <f t="shared" si="17"/>
        <v>0</v>
      </c>
      <c r="E309" s="16">
        <f t="shared" si="18"/>
        <v>0</v>
      </c>
      <c r="F309" s="16"/>
      <c r="G309" s="16">
        <f t="shared" si="19"/>
        <v>0</v>
      </c>
    </row>
    <row r="310" spans="2:7" x14ac:dyDescent="0.25">
      <c r="B310" s="10">
        <v>300</v>
      </c>
      <c r="C310" s="16">
        <f t="shared" si="20"/>
        <v>0</v>
      </c>
      <c r="D310" s="16">
        <f t="shared" si="17"/>
        <v>0</v>
      </c>
      <c r="E310" s="16">
        <f t="shared" si="18"/>
        <v>0</v>
      </c>
      <c r="F310" s="16"/>
      <c r="G310" s="16">
        <f t="shared" si="19"/>
        <v>0</v>
      </c>
    </row>
    <row r="311" spans="2:7" x14ac:dyDescent="0.25">
      <c r="B311" s="10">
        <v>301</v>
      </c>
      <c r="C311" s="16">
        <f t="shared" si="20"/>
        <v>0</v>
      </c>
      <c r="D311" s="16">
        <f t="shared" si="17"/>
        <v>0</v>
      </c>
      <c r="E311" s="16">
        <f t="shared" si="18"/>
        <v>0</v>
      </c>
      <c r="F311" s="16"/>
      <c r="G311" s="16">
        <f t="shared" si="19"/>
        <v>0</v>
      </c>
    </row>
    <row r="312" spans="2:7" x14ac:dyDescent="0.25">
      <c r="B312" s="10">
        <v>302</v>
      </c>
      <c r="C312" s="16">
        <f t="shared" si="20"/>
        <v>0</v>
      </c>
      <c r="D312" s="16">
        <f t="shared" si="17"/>
        <v>0</v>
      </c>
      <c r="E312" s="16">
        <f t="shared" si="18"/>
        <v>0</v>
      </c>
      <c r="F312" s="16"/>
      <c r="G312" s="16">
        <f t="shared" si="19"/>
        <v>0</v>
      </c>
    </row>
    <row r="313" spans="2:7" x14ac:dyDescent="0.25">
      <c r="B313" s="10">
        <v>303</v>
      </c>
      <c r="C313" s="16">
        <f t="shared" si="20"/>
        <v>0</v>
      </c>
      <c r="D313" s="16">
        <f t="shared" si="17"/>
        <v>0</v>
      </c>
      <c r="E313" s="16">
        <f t="shared" si="18"/>
        <v>0</v>
      </c>
      <c r="F313" s="16"/>
      <c r="G313" s="16">
        <f t="shared" si="19"/>
        <v>0</v>
      </c>
    </row>
    <row r="314" spans="2:7" x14ac:dyDescent="0.25">
      <c r="B314" s="10">
        <v>304</v>
      </c>
      <c r="C314" s="16">
        <f t="shared" si="20"/>
        <v>0</v>
      </c>
      <c r="D314" s="16">
        <f t="shared" si="17"/>
        <v>0</v>
      </c>
      <c r="E314" s="16">
        <f t="shared" si="18"/>
        <v>0</v>
      </c>
      <c r="F314" s="16"/>
      <c r="G314" s="16">
        <f t="shared" si="19"/>
        <v>0</v>
      </c>
    </row>
    <row r="315" spans="2:7" x14ac:dyDescent="0.25">
      <c r="B315" s="10">
        <v>305</v>
      </c>
      <c r="C315" s="16">
        <f t="shared" si="20"/>
        <v>0</v>
      </c>
      <c r="D315" s="16">
        <f t="shared" si="17"/>
        <v>0</v>
      </c>
      <c r="E315" s="16">
        <f t="shared" si="18"/>
        <v>0</v>
      </c>
      <c r="F315" s="16"/>
      <c r="G315" s="16">
        <f t="shared" si="19"/>
        <v>0</v>
      </c>
    </row>
    <row r="316" spans="2:7" x14ac:dyDescent="0.25">
      <c r="B316" s="10">
        <v>306</v>
      </c>
      <c r="C316" s="16">
        <f t="shared" si="20"/>
        <v>0</v>
      </c>
      <c r="D316" s="16">
        <f t="shared" si="17"/>
        <v>0</v>
      </c>
      <c r="E316" s="16">
        <f t="shared" si="18"/>
        <v>0</v>
      </c>
      <c r="F316" s="16"/>
      <c r="G316" s="16">
        <f t="shared" si="19"/>
        <v>0</v>
      </c>
    </row>
    <row r="317" spans="2:7" x14ac:dyDescent="0.25">
      <c r="B317" s="10">
        <v>307</v>
      </c>
      <c r="C317" s="16">
        <f t="shared" si="20"/>
        <v>0</v>
      </c>
      <c r="D317" s="16">
        <f t="shared" si="17"/>
        <v>0</v>
      </c>
      <c r="E317" s="16">
        <f t="shared" si="18"/>
        <v>0</v>
      </c>
      <c r="F317" s="16"/>
      <c r="G317" s="16">
        <f t="shared" si="19"/>
        <v>0</v>
      </c>
    </row>
    <row r="318" spans="2:7" x14ac:dyDescent="0.25">
      <c r="B318" s="10">
        <v>308</v>
      </c>
      <c r="C318" s="16">
        <f t="shared" si="20"/>
        <v>0</v>
      </c>
      <c r="D318" s="16">
        <f t="shared" si="17"/>
        <v>0</v>
      </c>
      <c r="E318" s="16">
        <f t="shared" si="18"/>
        <v>0</v>
      </c>
      <c r="F318" s="16"/>
      <c r="G318" s="16">
        <f t="shared" si="19"/>
        <v>0</v>
      </c>
    </row>
    <row r="319" spans="2:7" x14ac:dyDescent="0.25">
      <c r="B319" s="10">
        <v>309</v>
      </c>
      <c r="C319" s="16">
        <f t="shared" si="20"/>
        <v>0</v>
      </c>
      <c r="D319" s="16">
        <f t="shared" si="17"/>
        <v>0</v>
      </c>
      <c r="E319" s="16">
        <f t="shared" si="18"/>
        <v>0</v>
      </c>
      <c r="F319" s="16"/>
      <c r="G319" s="16">
        <f t="shared" si="19"/>
        <v>0</v>
      </c>
    </row>
    <row r="320" spans="2:7" x14ac:dyDescent="0.25">
      <c r="B320" s="10">
        <v>310</v>
      </c>
      <c r="C320" s="16">
        <f t="shared" si="20"/>
        <v>0</v>
      </c>
      <c r="D320" s="16">
        <f t="shared" si="17"/>
        <v>0</v>
      </c>
      <c r="E320" s="16">
        <f t="shared" si="18"/>
        <v>0</v>
      </c>
      <c r="F320" s="16"/>
      <c r="G320" s="16">
        <f t="shared" si="19"/>
        <v>0</v>
      </c>
    </row>
    <row r="321" spans="2:7" x14ac:dyDescent="0.25">
      <c r="B321" s="10">
        <v>311</v>
      </c>
      <c r="C321" s="16">
        <f t="shared" si="20"/>
        <v>0</v>
      </c>
      <c r="D321" s="16">
        <f t="shared" si="17"/>
        <v>0</v>
      </c>
      <c r="E321" s="16">
        <f t="shared" si="18"/>
        <v>0</v>
      </c>
      <c r="F321" s="16"/>
      <c r="G321" s="16">
        <f t="shared" si="19"/>
        <v>0</v>
      </c>
    </row>
    <row r="322" spans="2:7" x14ac:dyDescent="0.25">
      <c r="B322" s="10">
        <v>312</v>
      </c>
      <c r="C322" s="16">
        <f t="shared" si="20"/>
        <v>0</v>
      </c>
      <c r="D322" s="16">
        <f t="shared" si="17"/>
        <v>0</v>
      </c>
      <c r="E322" s="16">
        <f t="shared" si="18"/>
        <v>0</v>
      </c>
      <c r="F322" s="16"/>
      <c r="G322" s="16">
        <f t="shared" si="19"/>
        <v>0</v>
      </c>
    </row>
    <row r="323" spans="2:7" x14ac:dyDescent="0.25">
      <c r="B323" s="10">
        <v>313</v>
      </c>
      <c r="C323" s="16">
        <f t="shared" si="20"/>
        <v>0</v>
      </c>
      <c r="D323" s="16">
        <f t="shared" si="17"/>
        <v>0</v>
      </c>
      <c r="E323" s="16">
        <f t="shared" si="18"/>
        <v>0</v>
      </c>
      <c r="F323" s="16"/>
      <c r="G323" s="16">
        <f t="shared" si="19"/>
        <v>0</v>
      </c>
    </row>
    <row r="324" spans="2:7" x14ac:dyDescent="0.25">
      <c r="B324" s="10">
        <v>314</v>
      </c>
      <c r="C324" s="16">
        <f t="shared" si="20"/>
        <v>0</v>
      </c>
      <c r="D324" s="16">
        <f t="shared" si="17"/>
        <v>0</v>
      </c>
      <c r="E324" s="16">
        <f t="shared" si="18"/>
        <v>0</v>
      </c>
      <c r="F324" s="16"/>
      <c r="G324" s="16">
        <f t="shared" si="19"/>
        <v>0</v>
      </c>
    </row>
    <row r="325" spans="2:7" x14ac:dyDescent="0.25">
      <c r="B325" s="10">
        <v>315</v>
      </c>
      <c r="C325" s="16">
        <f t="shared" si="20"/>
        <v>0</v>
      </c>
      <c r="D325" s="16">
        <f t="shared" si="17"/>
        <v>0</v>
      </c>
      <c r="E325" s="16">
        <f t="shared" si="18"/>
        <v>0</v>
      </c>
      <c r="F325" s="16"/>
      <c r="G325" s="16">
        <f t="shared" si="19"/>
        <v>0</v>
      </c>
    </row>
    <row r="326" spans="2:7" x14ac:dyDescent="0.25">
      <c r="B326" s="10">
        <v>316</v>
      </c>
      <c r="C326" s="16">
        <f t="shared" si="20"/>
        <v>0</v>
      </c>
      <c r="D326" s="16">
        <f t="shared" si="17"/>
        <v>0</v>
      </c>
      <c r="E326" s="16">
        <f t="shared" si="18"/>
        <v>0</v>
      </c>
      <c r="F326" s="16"/>
      <c r="G326" s="16">
        <f t="shared" si="19"/>
        <v>0</v>
      </c>
    </row>
    <row r="327" spans="2:7" x14ac:dyDescent="0.25">
      <c r="B327" s="10">
        <v>317</v>
      </c>
      <c r="C327" s="16">
        <f t="shared" si="20"/>
        <v>0</v>
      </c>
      <c r="D327" s="16">
        <f t="shared" si="17"/>
        <v>0</v>
      </c>
      <c r="E327" s="16">
        <f t="shared" si="18"/>
        <v>0</v>
      </c>
      <c r="F327" s="16"/>
      <c r="G327" s="16">
        <f t="shared" si="19"/>
        <v>0</v>
      </c>
    </row>
    <row r="328" spans="2:7" x14ac:dyDescent="0.25">
      <c r="B328" s="10">
        <v>318</v>
      </c>
      <c r="C328" s="16">
        <f t="shared" si="20"/>
        <v>0</v>
      </c>
      <c r="D328" s="16">
        <f t="shared" si="17"/>
        <v>0</v>
      </c>
      <c r="E328" s="16">
        <f t="shared" si="18"/>
        <v>0</v>
      </c>
      <c r="F328" s="16"/>
      <c r="G328" s="16">
        <f t="shared" si="19"/>
        <v>0</v>
      </c>
    </row>
    <row r="329" spans="2:7" x14ac:dyDescent="0.25">
      <c r="B329" s="10">
        <v>319</v>
      </c>
      <c r="C329" s="16">
        <f t="shared" si="20"/>
        <v>0</v>
      </c>
      <c r="D329" s="16">
        <f t="shared" si="17"/>
        <v>0</v>
      </c>
      <c r="E329" s="16">
        <f t="shared" si="18"/>
        <v>0</v>
      </c>
      <c r="F329" s="16"/>
      <c r="G329" s="16">
        <f t="shared" si="19"/>
        <v>0</v>
      </c>
    </row>
    <row r="330" spans="2:7" x14ac:dyDescent="0.25">
      <c r="B330" s="10">
        <v>320</v>
      </c>
      <c r="C330" s="16">
        <f t="shared" si="20"/>
        <v>0</v>
      </c>
      <c r="D330" s="16">
        <f t="shared" si="17"/>
        <v>0</v>
      </c>
      <c r="E330" s="16">
        <f t="shared" si="18"/>
        <v>0</v>
      </c>
      <c r="F330" s="16"/>
      <c r="G330" s="16">
        <f t="shared" si="19"/>
        <v>0</v>
      </c>
    </row>
    <row r="331" spans="2:7" x14ac:dyDescent="0.25">
      <c r="B331" s="10">
        <v>321</v>
      </c>
      <c r="C331" s="16">
        <f t="shared" si="20"/>
        <v>0</v>
      </c>
      <c r="D331" s="16">
        <f t="shared" si="17"/>
        <v>0</v>
      </c>
      <c r="E331" s="16">
        <f t="shared" si="18"/>
        <v>0</v>
      </c>
      <c r="F331" s="16"/>
      <c r="G331" s="16">
        <f t="shared" si="19"/>
        <v>0</v>
      </c>
    </row>
    <row r="332" spans="2:7" x14ac:dyDescent="0.25">
      <c r="B332" s="10">
        <v>322</v>
      </c>
      <c r="C332" s="16">
        <f t="shared" si="20"/>
        <v>0</v>
      </c>
      <c r="D332" s="16">
        <f t="shared" ref="D332:D370" si="21">G331*$C$4</f>
        <v>0</v>
      </c>
      <c r="E332" s="16">
        <f t="shared" ref="E332:E370" si="22">C332-D332</f>
        <v>0</v>
      </c>
      <c r="F332" s="16"/>
      <c r="G332" s="16">
        <f t="shared" ref="G332:G370" si="23">G331-F332-E332</f>
        <v>0</v>
      </c>
    </row>
    <row r="333" spans="2:7" x14ac:dyDescent="0.25">
      <c r="B333" s="10">
        <v>323</v>
      </c>
      <c r="C333" s="16">
        <f t="shared" si="20"/>
        <v>0</v>
      </c>
      <c r="D333" s="16">
        <f t="shared" si="21"/>
        <v>0</v>
      </c>
      <c r="E333" s="16">
        <f t="shared" si="22"/>
        <v>0</v>
      </c>
      <c r="F333" s="16"/>
      <c r="G333" s="16">
        <f t="shared" si="23"/>
        <v>0</v>
      </c>
    </row>
    <row r="334" spans="2:7" x14ac:dyDescent="0.25">
      <c r="B334" s="10">
        <v>324</v>
      </c>
      <c r="C334" s="16">
        <f t="shared" si="20"/>
        <v>0</v>
      </c>
      <c r="D334" s="16">
        <f t="shared" si="21"/>
        <v>0</v>
      </c>
      <c r="E334" s="16">
        <f t="shared" si="22"/>
        <v>0</v>
      </c>
      <c r="F334" s="16"/>
      <c r="G334" s="16">
        <f t="shared" si="23"/>
        <v>0</v>
      </c>
    </row>
    <row r="335" spans="2:7" x14ac:dyDescent="0.25">
      <c r="B335" s="10">
        <v>325</v>
      </c>
      <c r="C335" s="16">
        <f t="shared" si="20"/>
        <v>0</v>
      </c>
      <c r="D335" s="16">
        <f t="shared" si="21"/>
        <v>0</v>
      </c>
      <c r="E335" s="16">
        <f t="shared" si="22"/>
        <v>0</v>
      </c>
      <c r="F335" s="16"/>
      <c r="G335" s="16">
        <f t="shared" si="23"/>
        <v>0</v>
      </c>
    </row>
    <row r="336" spans="2:7" x14ac:dyDescent="0.25">
      <c r="B336" s="10">
        <v>326</v>
      </c>
      <c r="C336" s="16">
        <f t="shared" si="20"/>
        <v>0</v>
      </c>
      <c r="D336" s="16">
        <f t="shared" si="21"/>
        <v>0</v>
      </c>
      <c r="E336" s="16">
        <f t="shared" si="22"/>
        <v>0</v>
      </c>
      <c r="F336" s="16"/>
      <c r="G336" s="16">
        <f t="shared" si="23"/>
        <v>0</v>
      </c>
    </row>
    <row r="337" spans="2:7" x14ac:dyDescent="0.25">
      <c r="B337" s="10">
        <v>327</v>
      </c>
      <c r="C337" s="16">
        <f t="shared" si="20"/>
        <v>0</v>
      </c>
      <c r="D337" s="16">
        <f t="shared" si="21"/>
        <v>0</v>
      </c>
      <c r="E337" s="16">
        <f t="shared" si="22"/>
        <v>0</v>
      </c>
      <c r="F337" s="16"/>
      <c r="G337" s="16">
        <f t="shared" si="23"/>
        <v>0</v>
      </c>
    </row>
    <row r="338" spans="2:7" x14ac:dyDescent="0.25">
      <c r="B338" s="10">
        <v>328</v>
      </c>
      <c r="C338" s="16">
        <f t="shared" si="20"/>
        <v>0</v>
      </c>
      <c r="D338" s="16">
        <f t="shared" si="21"/>
        <v>0</v>
      </c>
      <c r="E338" s="16">
        <f t="shared" si="22"/>
        <v>0</v>
      </c>
      <c r="F338" s="16"/>
      <c r="G338" s="16">
        <f t="shared" si="23"/>
        <v>0</v>
      </c>
    </row>
    <row r="339" spans="2:7" x14ac:dyDescent="0.25">
      <c r="B339" s="10">
        <v>329</v>
      </c>
      <c r="C339" s="16">
        <f t="shared" si="20"/>
        <v>0</v>
      </c>
      <c r="D339" s="16">
        <f t="shared" si="21"/>
        <v>0</v>
      </c>
      <c r="E339" s="16">
        <f t="shared" si="22"/>
        <v>0</v>
      </c>
      <c r="F339" s="16"/>
      <c r="G339" s="16">
        <f t="shared" si="23"/>
        <v>0</v>
      </c>
    </row>
    <row r="340" spans="2:7" x14ac:dyDescent="0.25">
      <c r="B340" s="10">
        <v>330</v>
      </c>
      <c r="C340" s="16">
        <f t="shared" si="20"/>
        <v>0</v>
      </c>
      <c r="D340" s="16">
        <f t="shared" si="21"/>
        <v>0</v>
      </c>
      <c r="E340" s="16">
        <f t="shared" si="22"/>
        <v>0</v>
      </c>
      <c r="F340" s="16"/>
      <c r="G340" s="16">
        <f t="shared" si="23"/>
        <v>0</v>
      </c>
    </row>
    <row r="341" spans="2:7" x14ac:dyDescent="0.25">
      <c r="B341" s="10">
        <v>331</v>
      </c>
      <c r="C341" s="16">
        <f t="shared" si="20"/>
        <v>0</v>
      </c>
      <c r="D341" s="16">
        <f t="shared" si="21"/>
        <v>0</v>
      </c>
      <c r="E341" s="16">
        <f t="shared" si="22"/>
        <v>0</v>
      </c>
      <c r="F341" s="16"/>
      <c r="G341" s="16">
        <f t="shared" si="23"/>
        <v>0</v>
      </c>
    </row>
    <row r="342" spans="2:7" x14ac:dyDescent="0.25">
      <c r="B342" s="10">
        <v>332</v>
      </c>
      <c r="C342" s="16">
        <f t="shared" si="20"/>
        <v>0</v>
      </c>
      <c r="D342" s="16">
        <f t="shared" si="21"/>
        <v>0</v>
      </c>
      <c r="E342" s="16">
        <f t="shared" si="22"/>
        <v>0</v>
      </c>
      <c r="F342" s="16"/>
      <c r="G342" s="16">
        <f t="shared" si="23"/>
        <v>0</v>
      </c>
    </row>
    <row r="343" spans="2:7" x14ac:dyDescent="0.25">
      <c r="B343" s="10">
        <v>333</v>
      </c>
      <c r="C343" s="16">
        <f t="shared" si="20"/>
        <v>0</v>
      </c>
      <c r="D343" s="16">
        <f t="shared" si="21"/>
        <v>0</v>
      </c>
      <c r="E343" s="16">
        <f t="shared" si="22"/>
        <v>0</v>
      </c>
      <c r="F343" s="16"/>
      <c r="G343" s="16">
        <f t="shared" si="23"/>
        <v>0</v>
      </c>
    </row>
    <row r="344" spans="2:7" x14ac:dyDescent="0.25">
      <c r="B344" s="10">
        <v>334</v>
      </c>
      <c r="C344" s="16">
        <f t="shared" si="20"/>
        <v>0</v>
      </c>
      <c r="D344" s="16">
        <f t="shared" si="21"/>
        <v>0</v>
      </c>
      <c r="E344" s="16">
        <f t="shared" si="22"/>
        <v>0</v>
      </c>
      <c r="F344" s="16"/>
      <c r="G344" s="16">
        <f t="shared" si="23"/>
        <v>0</v>
      </c>
    </row>
    <row r="345" spans="2:7" x14ac:dyDescent="0.25">
      <c r="B345" s="10">
        <v>335</v>
      </c>
      <c r="C345" s="16">
        <f t="shared" si="20"/>
        <v>0</v>
      </c>
      <c r="D345" s="16">
        <f t="shared" si="21"/>
        <v>0</v>
      </c>
      <c r="E345" s="16">
        <f t="shared" si="22"/>
        <v>0</v>
      </c>
      <c r="F345" s="16"/>
      <c r="G345" s="16">
        <f t="shared" si="23"/>
        <v>0</v>
      </c>
    </row>
    <row r="346" spans="2:7" x14ac:dyDescent="0.25">
      <c r="B346" s="10">
        <v>336</v>
      </c>
      <c r="C346" s="16">
        <f t="shared" ref="C346:C370" si="24">IF(G345&lt;$C$7,G345*(1+$C$4),$C$7)</f>
        <v>0</v>
      </c>
      <c r="D346" s="16">
        <f t="shared" si="21"/>
        <v>0</v>
      </c>
      <c r="E346" s="16">
        <f t="shared" si="22"/>
        <v>0</v>
      </c>
      <c r="F346" s="16"/>
      <c r="G346" s="16">
        <f t="shared" si="23"/>
        <v>0</v>
      </c>
    </row>
    <row r="347" spans="2:7" x14ac:dyDescent="0.25">
      <c r="B347" s="10">
        <v>337</v>
      </c>
      <c r="C347" s="16">
        <f t="shared" si="24"/>
        <v>0</v>
      </c>
      <c r="D347" s="16">
        <f t="shared" si="21"/>
        <v>0</v>
      </c>
      <c r="E347" s="16">
        <f t="shared" si="22"/>
        <v>0</v>
      </c>
      <c r="F347" s="16"/>
      <c r="G347" s="16">
        <f t="shared" si="23"/>
        <v>0</v>
      </c>
    </row>
    <row r="348" spans="2:7" x14ac:dyDescent="0.25">
      <c r="B348" s="10">
        <v>338</v>
      </c>
      <c r="C348" s="16">
        <f t="shared" si="24"/>
        <v>0</v>
      </c>
      <c r="D348" s="16">
        <f t="shared" si="21"/>
        <v>0</v>
      </c>
      <c r="E348" s="16">
        <f t="shared" si="22"/>
        <v>0</v>
      </c>
      <c r="F348" s="16"/>
      <c r="G348" s="16">
        <f t="shared" si="23"/>
        <v>0</v>
      </c>
    </row>
    <row r="349" spans="2:7" x14ac:dyDescent="0.25">
      <c r="B349" s="10">
        <v>339</v>
      </c>
      <c r="C349" s="16">
        <f t="shared" si="24"/>
        <v>0</v>
      </c>
      <c r="D349" s="16">
        <f t="shared" si="21"/>
        <v>0</v>
      </c>
      <c r="E349" s="16">
        <f t="shared" si="22"/>
        <v>0</v>
      </c>
      <c r="F349" s="16"/>
      <c r="G349" s="16">
        <f t="shared" si="23"/>
        <v>0</v>
      </c>
    </row>
    <row r="350" spans="2:7" x14ac:dyDescent="0.25">
      <c r="B350" s="10">
        <v>340</v>
      </c>
      <c r="C350" s="16">
        <f t="shared" si="24"/>
        <v>0</v>
      </c>
      <c r="D350" s="16">
        <f t="shared" si="21"/>
        <v>0</v>
      </c>
      <c r="E350" s="16">
        <f t="shared" si="22"/>
        <v>0</v>
      </c>
      <c r="F350" s="16"/>
      <c r="G350" s="16">
        <f t="shared" si="23"/>
        <v>0</v>
      </c>
    </row>
    <row r="351" spans="2:7" x14ac:dyDescent="0.25">
      <c r="B351" s="10">
        <v>341</v>
      </c>
      <c r="C351" s="16">
        <f t="shared" si="24"/>
        <v>0</v>
      </c>
      <c r="D351" s="16">
        <f t="shared" si="21"/>
        <v>0</v>
      </c>
      <c r="E351" s="16">
        <f t="shared" si="22"/>
        <v>0</v>
      </c>
      <c r="F351" s="16"/>
      <c r="G351" s="16">
        <f t="shared" si="23"/>
        <v>0</v>
      </c>
    </row>
    <row r="352" spans="2:7" x14ac:dyDescent="0.25">
      <c r="B352" s="10">
        <v>342</v>
      </c>
      <c r="C352" s="16">
        <f t="shared" si="24"/>
        <v>0</v>
      </c>
      <c r="D352" s="16">
        <f t="shared" si="21"/>
        <v>0</v>
      </c>
      <c r="E352" s="16">
        <f t="shared" si="22"/>
        <v>0</v>
      </c>
      <c r="F352" s="16"/>
      <c r="G352" s="16">
        <f t="shared" si="23"/>
        <v>0</v>
      </c>
    </row>
    <row r="353" spans="2:7" x14ac:dyDescent="0.25">
      <c r="B353" s="10">
        <v>343</v>
      </c>
      <c r="C353" s="16">
        <f t="shared" si="24"/>
        <v>0</v>
      </c>
      <c r="D353" s="16">
        <f t="shared" si="21"/>
        <v>0</v>
      </c>
      <c r="E353" s="16">
        <f t="shared" si="22"/>
        <v>0</v>
      </c>
      <c r="F353" s="16"/>
      <c r="G353" s="16">
        <f t="shared" si="23"/>
        <v>0</v>
      </c>
    </row>
    <row r="354" spans="2:7" x14ac:dyDescent="0.25">
      <c r="B354" s="10">
        <v>344</v>
      </c>
      <c r="C354" s="16">
        <f t="shared" si="24"/>
        <v>0</v>
      </c>
      <c r="D354" s="16">
        <f t="shared" si="21"/>
        <v>0</v>
      </c>
      <c r="E354" s="16">
        <f t="shared" si="22"/>
        <v>0</v>
      </c>
      <c r="F354" s="16"/>
      <c r="G354" s="16">
        <f t="shared" si="23"/>
        <v>0</v>
      </c>
    </row>
    <row r="355" spans="2:7" x14ac:dyDescent="0.25">
      <c r="B355" s="10">
        <v>345</v>
      </c>
      <c r="C355" s="16">
        <f t="shared" si="24"/>
        <v>0</v>
      </c>
      <c r="D355" s="16">
        <f t="shared" si="21"/>
        <v>0</v>
      </c>
      <c r="E355" s="16">
        <f t="shared" si="22"/>
        <v>0</v>
      </c>
      <c r="F355" s="16"/>
      <c r="G355" s="16">
        <f t="shared" si="23"/>
        <v>0</v>
      </c>
    </row>
    <row r="356" spans="2:7" x14ac:dyDescent="0.25">
      <c r="B356" s="10">
        <v>346</v>
      </c>
      <c r="C356" s="16">
        <f t="shared" si="24"/>
        <v>0</v>
      </c>
      <c r="D356" s="16">
        <f t="shared" si="21"/>
        <v>0</v>
      </c>
      <c r="E356" s="16">
        <f t="shared" si="22"/>
        <v>0</v>
      </c>
      <c r="F356" s="16"/>
      <c r="G356" s="16">
        <f t="shared" si="23"/>
        <v>0</v>
      </c>
    </row>
    <row r="357" spans="2:7" x14ac:dyDescent="0.25">
      <c r="B357" s="10">
        <v>347</v>
      </c>
      <c r="C357" s="16">
        <f t="shared" si="24"/>
        <v>0</v>
      </c>
      <c r="D357" s="16">
        <f t="shared" si="21"/>
        <v>0</v>
      </c>
      <c r="E357" s="16">
        <f t="shared" si="22"/>
        <v>0</v>
      </c>
      <c r="F357" s="16"/>
      <c r="G357" s="16">
        <f t="shared" si="23"/>
        <v>0</v>
      </c>
    </row>
    <row r="358" spans="2:7" x14ac:dyDescent="0.25">
      <c r="B358" s="10">
        <v>348</v>
      </c>
      <c r="C358" s="16">
        <f t="shared" si="24"/>
        <v>0</v>
      </c>
      <c r="D358" s="16">
        <f t="shared" si="21"/>
        <v>0</v>
      </c>
      <c r="E358" s="16">
        <f t="shared" si="22"/>
        <v>0</v>
      </c>
      <c r="F358" s="16"/>
      <c r="G358" s="16">
        <f t="shared" si="23"/>
        <v>0</v>
      </c>
    </row>
    <row r="359" spans="2:7" x14ac:dyDescent="0.25">
      <c r="B359" s="10">
        <v>349</v>
      </c>
      <c r="C359" s="16">
        <f t="shared" si="24"/>
        <v>0</v>
      </c>
      <c r="D359" s="16">
        <f t="shared" si="21"/>
        <v>0</v>
      </c>
      <c r="E359" s="16">
        <f t="shared" si="22"/>
        <v>0</v>
      </c>
      <c r="F359" s="16"/>
      <c r="G359" s="16">
        <f t="shared" si="23"/>
        <v>0</v>
      </c>
    </row>
    <row r="360" spans="2:7" x14ac:dyDescent="0.25">
      <c r="B360" s="10">
        <v>350</v>
      </c>
      <c r="C360" s="16">
        <f t="shared" si="24"/>
        <v>0</v>
      </c>
      <c r="D360" s="16">
        <f t="shared" si="21"/>
        <v>0</v>
      </c>
      <c r="E360" s="16">
        <f t="shared" si="22"/>
        <v>0</v>
      </c>
      <c r="F360" s="16"/>
      <c r="G360" s="16">
        <f t="shared" si="23"/>
        <v>0</v>
      </c>
    </row>
    <row r="361" spans="2:7" x14ac:dyDescent="0.25">
      <c r="B361" s="10">
        <v>351</v>
      </c>
      <c r="C361" s="16">
        <f t="shared" si="24"/>
        <v>0</v>
      </c>
      <c r="D361" s="16">
        <f t="shared" si="21"/>
        <v>0</v>
      </c>
      <c r="E361" s="16">
        <f t="shared" si="22"/>
        <v>0</v>
      </c>
      <c r="F361" s="16"/>
      <c r="G361" s="16">
        <f t="shared" si="23"/>
        <v>0</v>
      </c>
    </row>
    <row r="362" spans="2:7" x14ac:dyDescent="0.25">
      <c r="B362" s="10">
        <v>352</v>
      </c>
      <c r="C362" s="16">
        <f t="shared" si="24"/>
        <v>0</v>
      </c>
      <c r="D362" s="16">
        <f t="shared" si="21"/>
        <v>0</v>
      </c>
      <c r="E362" s="16">
        <f t="shared" si="22"/>
        <v>0</v>
      </c>
      <c r="F362" s="16"/>
      <c r="G362" s="16">
        <f t="shared" si="23"/>
        <v>0</v>
      </c>
    </row>
    <row r="363" spans="2:7" x14ac:dyDescent="0.25">
      <c r="B363" s="10">
        <v>353</v>
      </c>
      <c r="C363" s="16">
        <f t="shared" si="24"/>
        <v>0</v>
      </c>
      <c r="D363" s="16">
        <f t="shared" si="21"/>
        <v>0</v>
      </c>
      <c r="E363" s="16">
        <f t="shared" si="22"/>
        <v>0</v>
      </c>
      <c r="F363" s="16"/>
      <c r="G363" s="16">
        <f t="shared" si="23"/>
        <v>0</v>
      </c>
    </row>
    <row r="364" spans="2:7" x14ac:dyDescent="0.25">
      <c r="B364" s="10">
        <v>354</v>
      </c>
      <c r="C364" s="16">
        <f t="shared" si="24"/>
        <v>0</v>
      </c>
      <c r="D364" s="16">
        <f t="shared" si="21"/>
        <v>0</v>
      </c>
      <c r="E364" s="16">
        <f t="shared" si="22"/>
        <v>0</v>
      </c>
      <c r="F364" s="16"/>
      <c r="G364" s="16">
        <f t="shared" si="23"/>
        <v>0</v>
      </c>
    </row>
    <row r="365" spans="2:7" x14ac:dyDescent="0.25">
      <c r="B365" s="10">
        <v>355</v>
      </c>
      <c r="C365" s="16">
        <f t="shared" si="24"/>
        <v>0</v>
      </c>
      <c r="D365" s="16">
        <f t="shared" si="21"/>
        <v>0</v>
      </c>
      <c r="E365" s="16">
        <f t="shared" si="22"/>
        <v>0</v>
      </c>
      <c r="F365" s="16"/>
      <c r="G365" s="16">
        <f t="shared" si="23"/>
        <v>0</v>
      </c>
    </row>
    <row r="366" spans="2:7" x14ac:dyDescent="0.25">
      <c r="B366" s="10">
        <v>356</v>
      </c>
      <c r="C366" s="16">
        <f t="shared" si="24"/>
        <v>0</v>
      </c>
      <c r="D366" s="16">
        <f t="shared" si="21"/>
        <v>0</v>
      </c>
      <c r="E366" s="16">
        <f t="shared" si="22"/>
        <v>0</v>
      </c>
      <c r="F366" s="16"/>
      <c r="G366" s="16">
        <f t="shared" si="23"/>
        <v>0</v>
      </c>
    </row>
    <row r="367" spans="2:7" x14ac:dyDescent="0.25">
      <c r="B367" s="10">
        <v>357</v>
      </c>
      <c r="C367" s="16">
        <f t="shared" si="24"/>
        <v>0</v>
      </c>
      <c r="D367" s="16">
        <f t="shared" si="21"/>
        <v>0</v>
      </c>
      <c r="E367" s="16">
        <f t="shared" si="22"/>
        <v>0</v>
      </c>
      <c r="F367" s="16"/>
      <c r="G367" s="16">
        <f t="shared" si="23"/>
        <v>0</v>
      </c>
    </row>
    <row r="368" spans="2:7" x14ac:dyDescent="0.25">
      <c r="B368" s="10">
        <v>358</v>
      </c>
      <c r="C368" s="16">
        <f t="shared" si="24"/>
        <v>0</v>
      </c>
      <c r="D368" s="16">
        <f t="shared" si="21"/>
        <v>0</v>
      </c>
      <c r="E368" s="16">
        <f t="shared" si="22"/>
        <v>0</v>
      </c>
      <c r="F368" s="16"/>
      <c r="G368" s="16">
        <f t="shared" si="23"/>
        <v>0</v>
      </c>
    </row>
    <row r="369" spans="2:7" x14ac:dyDescent="0.25">
      <c r="B369" s="10">
        <v>359</v>
      </c>
      <c r="C369" s="16">
        <f t="shared" si="24"/>
        <v>0</v>
      </c>
      <c r="D369" s="16">
        <f t="shared" si="21"/>
        <v>0</v>
      </c>
      <c r="E369" s="16">
        <f t="shared" si="22"/>
        <v>0</v>
      </c>
      <c r="F369" s="16"/>
      <c r="G369" s="16">
        <f t="shared" si="23"/>
        <v>0</v>
      </c>
    </row>
    <row r="370" spans="2:7" x14ac:dyDescent="0.25">
      <c r="B370" s="10">
        <v>360</v>
      </c>
      <c r="C370" s="16">
        <f t="shared" si="24"/>
        <v>0</v>
      </c>
      <c r="D370" s="16">
        <f t="shared" si="21"/>
        <v>0</v>
      </c>
      <c r="E370" s="16">
        <f t="shared" si="22"/>
        <v>0</v>
      </c>
      <c r="F370" s="16"/>
      <c r="G370" s="16">
        <f t="shared" si="2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readMe</vt:lpstr>
      <vt:lpstr>Loan1_0</vt:lpstr>
      <vt:lpstr>Loan1_1000</vt:lpstr>
      <vt:lpstr>Loan1_monthly1000</vt:lpstr>
      <vt:lpstr>Loan2_0</vt:lpstr>
      <vt:lpstr>Loan2_1000</vt:lpstr>
      <vt:lpstr>Loan2_monthly1000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 Wang</dc:creator>
  <cp:lastModifiedBy>Jing Wang</cp:lastModifiedBy>
  <dcterms:created xsi:type="dcterms:W3CDTF">2015-06-05T18:17:20Z</dcterms:created>
  <dcterms:modified xsi:type="dcterms:W3CDTF">2025-11-12T01:53:27Z</dcterms:modified>
</cp:coreProperties>
</file>